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12W1" sheetId="2" r:id="rId5"/>
    <sheet name="12W2" sheetId="3" r:id="rId6"/>
    <sheet name="12W3" sheetId="4" r:id="rId7"/>
    <sheet name="12W4" sheetId="5" r:id="rId8"/>
    <sheet name="1W1" sheetId="6" r:id="rId9"/>
    <sheet name="1W2-1W3" sheetId="7" r:id="rId10"/>
    <sheet name="1W4" sheetId="8" r:id="rId11"/>
    <sheet name="2W1" sheetId="9" r:id="rId12"/>
    <sheet name="2W4" sheetId="10" r:id="rId13"/>
    <sheet name="3W1" sheetId="11" r:id="rId14"/>
    <sheet name="3W2" sheetId="12" r:id="rId15"/>
    <sheet name="3W3" sheetId="13" r:id="rId16"/>
    <sheet name="3W4" sheetId="14" r:id="rId17"/>
    <sheet name="4W1" sheetId="15" r:id="rId18"/>
    <sheet name="4W2" sheetId="16" r:id="rId19"/>
    <sheet name="4W3" sheetId="17" r:id="rId20"/>
    <sheet name="4W4" sheetId="18" r:id="rId21"/>
    <sheet name="5W1" sheetId="19" r:id="rId22"/>
    <sheet name="5W2" sheetId="20" r:id="rId23"/>
    <sheet name="5W3" sheetId="21" r:id="rId24"/>
    <sheet name="5W4" sheetId="22" r:id="rId25"/>
    <sheet name="6W2" sheetId="23" r:id="rId26"/>
    <sheet name="6W3" sheetId="24" r:id="rId27"/>
    <sheet name="6W4" sheetId="25" r:id="rId28"/>
    <sheet name="7W1" sheetId="26" r:id="rId29"/>
    <sheet name="7W2" sheetId="27" r:id="rId30"/>
    <sheet name="7W3" sheetId="28" r:id="rId31"/>
    <sheet name="7W4" sheetId="29" r:id="rId32"/>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<sst xmlns="http://schemas.openxmlformats.org/spreadsheetml/2006/main" count="2045" uniqueCount="2045">
  <si>
    <t xml:space="preserve">  </t>
  </si>
  <si>
    <t xml:space="preserve">Product</t>
  </si>
  <si>
    <t xml:space="preserve">Niche</t>
  </si>
  <si>
    <t xml:space="preserve">Idea Quantity</t>
  </si>
  <si>
    <t xml:space="preserve">PIC</t>
  </si>
  <si>
    <t xml:space="preserve">Created (Ideas In Design step)</t>
  </si>
  <si>
    <t xml:space="preserve">Pending</t>
  </si>
  <si>
    <t xml:space="preserve">
(EVERGREEN, COUPLE)
Car Vent Clip (NEW)
Mug/Whiskey Glass/Heart Handle Mug (Funny, Couple, Bestie, Coworker)
Shirt (Couple, Memorial, Family)
Bottle Lamp/ Jar Light 
Pocket Hug
Men's Boxer/ Legging
Reaction </t>
  </si>
  <si>
    <t xml:space="preserve">Car Vent Clip</t>
  </si>
  <si>
    <t xml:space="preserve">Couple</t>
  </si>
  <si>
    <t xml:space="preserve">Ngân</t>
  </si>
  <si>
    <t xml:space="preserve">TOTAL</t>
  </si>
  <si>
    <t xml:space="preserve">Mug/Whiskey Glass/Heart Handle Mug</t>
  </si>
  <si>
    <t xml:space="preserve">Huyền</t>
  </si>
  <si>
    <t xml:space="preserve">chờ SC listing sp mới</t>
  </si>
  <si>
    <t xml:space="preserve">Mug/Whiskey Glass</t>
  </si>
  <si>
    <t xml:space="preserve">Besties/Coworkers (chủ yếu là besties)</t>
  </si>
  <si>
    <t xml:space="preserve">Hoa</t>
  </si>
  <si>
    <t xml:space="preserve">Family (siblings, far away...)/Funny/Hobby</t>
  </si>
  <si>
    <t xml:space="preserve">Shirt</t>
  </si>
  <si>
    <t xml:space="preserve">Thúy</t>
  </si>
  <si>
    <t xml:space="preserve">Family (siblings, far away...)</t>
  </si>
  <si>
    <t xml:space="preserve">Memorial</t>
  </si>
  <si>
    <t xml:space="preserve">Khanh</t>
  </si>
  <si>
    <t xml:space="preserve">Bottle Lamp/ Jar Light</t>
  </si>
  <si>
    <t xml:space="preserve">Mai</t>
  </si>
  <si>
    <t xml:space="preserve">Có thể crossing bên FC qua</t>
  </si>
  <si>
    <t xml:space="preserve">Pocket Hug</t>
  </si>
  <si>
    <t xml:space="preserve">Family</t>
  </si>
  <si>
    <t xml:space="preserve">Men's Boxer</t>
  </si>
  <si>
    <t xml:space="preserve">Legging</t>
  </si>
  <si>
    <t xml:space="preserve">Doormat</t>
  </si>
  <si>
    <t xml:space="preserve">Family/Couple (lưu ý độ phù hợp của idea trước khi lên)</t>
  </si>
  <si>
    <t xml:space="preserve">Mug, Ornament</t>
  </si>
  <si>
    <t xml:space="preserve">Reaction</t>
  </si>
  <si>
    <t xml:space="preserve">Idea Creator</t>
  </si>
  <si>
    <t xml:space="preserve">Idea Created</t>
  </si>
  <si>
    <t xml:space="preserve">Product</t>
  </si>
  <si>
    <t xml:space="preserve">Niche</t>
  </si>
  <si>
    <t xml:space="preserve">Idea Quantity</t>
  </si>
  <si>
    <t xml:space="preserve">PIC</t>
  </si>
  <si>
    <t xml:space="preserve">Created (Ideas In Design step)</t>
  </si>
  <si>
    <t xml:space="preserve">Pending</t>
  </si>
  <si>
    <t xml:space="preserve">
(EVERGREEN, COUPLE)
Mug/Whiskey Glass/Heart Handle Mug (Funny, Couple, Bestie, Family)
Shirt (Couple, Memorial, Family)
Bottle Lamp/ Jar Light/ Light Box 
Pocket Hug
Men's Boxer/ Legging
Suncatcher
Wallet Card
Reaction </t>
  </si>
  <si>
    <t xml:space="preserve">Wallet Card</t>
  </si>
  <si>
    <t xml:space="preserve">Couple</t>
  </si>
  <si>
    <t xml:space="preserve">Ngân</t>
  </si>
  <si>
    <t xml:space="preserve">TOTAL</t>
  </si>
  <si>
    <t xml:space="preserve">Mug/Whiskey Glass/</t>
  </si>
  <si>
    <t xml:space="preserve">Hoa</t>
  </si>
  <si>
    <t xml:space="preserve">Heart Handle Mug</t>
  </si>
  <si>
    <t xml:space="preserve">Thúy</t>
  </si>
  <si>
    <t xml:space="preserve">Design chưa làm xong có 2 mẫu làm xong và ra 1 sale, em thấy chỉ số chưa rõ ràng lắm ạ </t>
  </si>
  <si>
    <t xml:space="preserve">Mug/Whiskey Glass</t>
  </si>
  <si>
    <t xml:space="preserve">Besties</t>
  </si>
  <si>
    <t xml:space="preserve">Family (siblings, far away...)/Funny/Hobby</t>
  </si>
  <si>
    <t xml:space="preserve">Huyền</t>
  </si>
  <si>
    <t xml:space="preserve">hướng đơn giản có vẻ hiệu quả hơn (dạng definition có vẻ ổn, 2 mẫu test đều ra sale), vẫn là kiểu gia đình trực hệ, còn mấy kiểu ngách nhỏ như con dâu, con rể chưa ổn lắm, hobby thì mới có mẫu scale từ camp win ornament là ổn, có thể scale tiếp, nhưng phải trang trí thêm, có sự biến đổi cho phù hợp</t>
  </si>
  <si>
    <t xml:space="preserve">                                                                    </t>
  </si>
  <si>
    <t xml:space="preserve">Shirt</t>
  </si>
  <si>
    <t xml:space="preserve">triển khai hướng đơn giản thì có ra sale nhưng cảm giác không khả quan lắm</t>
  </si>
  <si>
    <t xml:space="preserve">Family (siblings, far away...)</t>
  </si>
  <si>
    <t xml:space="preserve">hướng tặng</t>
  </si>
  <si>
    <t xml:space="preserve">Memorial</t>
  </si>
  <si>
    <t xml:space="preserve">chờ chạy ad, nhưng tình hình tuần trc nữa làm không khả quan lắm</t>
  </si>
  <si>
    <t xml:space="preserve">Bottle Lamp/ Light Box</t>
  </si>
  <si>
    <t xml:space="preserve">Mai</t>
  </si>
  <si>
    <t xml:space="preserve">CPC cao, sale k nổi bật</t>
  </si>
  <si>
    <t xml:space="preserve">Pocket Hug</t>
  </si>
  <si>
    <t xml:space="preserve">chưa chạy ads</t>
  </si>
  <si>
    <t xml:space="preserve">Family</t>
  </si>
  <si>
    <t xml:space="preserve">Men's Boxer/Legging</t>
  </si>
  <si>
    <t xml:space="preserve">Couple (valentine, Xmas)</t>
  </si>
  <si>
    <t xml:space="preserve">Khanh</t>
  </si>
  <si>
    <t xml:space="preserve">Suncatcher</t>
  </si>
  <si>
    <t xml:space="preserve">Besties, Couple, Family</t>
  </si>
  <si>
    <t xml:space="preserve">Doormat</t>
  </si>
  <si>
    <t xml:space="preserve">Family/Couple (lưu ý độ phù hợp của idea trước khi lên)</t>
  </si>
  <si>
    <t xml:space="preserve">Idea Family có ra sale, nhưng lỗ, có thể test thêm thử</t>
  </si>
  <si>
    <t xml:space="preserve">Mug, Ornament</t>
  </si>
  <si>
    <t xml:space="preserve">Reaction</t>
  </si>
  <si>
    <t xml:space="preserve">Idea Creator</t>
  </si>
  <si>
    <t xml:space="preserve">Idea Created</t>
  </si>
  <si>
    <t xml:space="preserve">Product</t>
  </si>
  <si>
    <t xml:space="preserve">Niche</t>
  </si>
  <si>
    <t xml:space="preserve">Idea Quantity</t>
  </si>
  <si>
    <t xml:space="preserve">PIC</t>
  </si>
  <si>
    <t xml:space="preserve">Created (Ideas In Design step)</t>
  </si>
  <si>
    <t xml:space="preserve">Pending</t>
  </si>
  <si>
    <t/>
    <r>
      <rPr>
        <b val="false"/>
        <i val="false"/>
        <strike val="false"/>
        <sz val="10"/>
        <color rgb="FF000000"/>
      </rPr>
      <t xml:space="preserve">
</t>
    </r>
    <r>
      <rPr>
        <b val="false"/>
        <i val="false"/>
        <strike val="false"/>
        <sz val="10"/>
        <color rgb="FF000000"/>
      </rPr>
      <t xml:space="preserve">(EVERGREEN, COUPLE)
Mug/Whiskey Glass/Heart Handle Mug (Funny, Couple, Bestie, Family)
Shirt (Couple, Memorial, Family)
Bottle Lamp/ Jar Light/ Light Box 
Leather Belt
Suncatcher
Bracelet
</t>
    </r>
    <r>
      <rPr>
        <b val="true"/>
        <i val="false"/>
        <strike val="false"/>
        <sz val="10"/>
        <color rgb="FF000000"/>
      </rPr>
      <t xml:space="preserve">Women's Low-waisted Brief
</t>
    </r>
    <r>
      <rPr>
        <b val="false"/>
        <i val="false"/>
        <strike val="false"/>
        <sz val="10"/>
        <color rgb="FF000000"/>
      </rPr>
      <t xml:space="preserve">Music Box
RETIREMENT, CAMPING (2 niches nhỏ cuối này thì làm số lượng ít thôi nhé)
Doormat
Mug 
Car ornament/Light box/ Plaque (3D)
Reaction </t>
    </r>
  </si>
  <si>
    <t xml:space="preserve">Music Box</t>
  </si>
  <si>
    <t xml:space="preserve">Couple/Family/Besties/memorial</t>
  </si>
  <si>
    <t xml:space="preserve">Huyền</t>
  </si>
  <si>
    <t xml:space="preserve">TOTAL</t>
  </si>
  <si>
    <t xml:space="preserve">Mug/Whiskey Glass/Heart Handle Mug/Accen Mug/Tumbler</t>
  </si>
  <si>
    <t xml:space="preserve">Couple</t>
  </si>
  <si>
    <t xml:space="preserve">Thúy</t>
  </si>
  <si>
    <t xml:space="preserve">Besties</t>
  </si>
  <si>
    <t xml:space="preserve">Hoa</t>
  </si>
  <si>
    <t xml:space="preserve">Family (brother/sister/siblings)/Funny/Hobby (camping, retirement)</t>
  </si>
  <si>
    <t xml:space="preserve">Shirt</t>
  </si>
  <si>
    <t xml:space="preserve">Couple, Family, Hobby, Funny (camping, retirement)</t>
  </si>
  <si>
    <t xml:space="preserve">Hoodie</t>
  </si>
  <si>
    <t xml:space="preserve">Family (nam là chủ yếu), Hobby (camping, retirement)</t>
  </si>
  <si>
    <t xml:space="preserve">chờ sp</t>
  </si>
  <si>
    <t xml:space="preserve">Plaque (3D)</t>
  </si>
  <si>
    <t xml:space="preserve">Memorial, Couple</t>
  </si>
  <si>
    <t xml:space="preserve">Bottle Lamp/ Light Box/ Jar Light</t>
  </si>
  <si>
    <t xml:space="preserve">Couple, memorial</t>
  </si>
  <si>
    <t xml:space="preserve">Bracelet</t>
  </si>
  <si>
    <t xml:space="preserve">Couple, Family, Memorial</t>
  </si>
  <si>
    <t xml:space="preserve">Khanh</t>
  </si>
  <si>
    <t xml:space="preserve">Women's Low-waisted Brief</t>
  </si>
  <si>
    <t xml:space="preserve">Ngân</t>
  </si>
  <si>
    <t xml:space="preserve">Suncatcher</t>
  </si>
  <si>
    <t xml:space="preserve">Memorial, Besties, Couple</t>
  </si>
  <si>
    <t xml:space="preserve">Car Ornament</t>
  </si>
  <si>
    <t xml:space="preserve">Memorial, Family, Couple</t>
  </si>
  <si>
    <t xml:space="preserve">Doormat </t>
  </si>
  <si>
    <t xml:space="preserve">Family (camping, retirement)/Couple (lưu ý độ phù hợp của idea trước khi lên)</t>
  </si>
  <si>
    <t xml:space="preserve">Mai</t>
  </si>
  <si>
    <t xml:space="preserve">Leather Belt</t>
  </si>
  <si>
    <t xml:space="preserve">Couple (funny, Sentimental)</t>
  </si>
  <si>
    <t xml:space="preserve">Mug, Shirt, car ornament, plaque</t>
  </si>
  <si>
    <t xml:space="preserve">Reaction</t>
  </si>
  <si>
    <t xml:space="preserve">Idea Creator</t>
  </si>
  <si>
    <t xml:space="preserve">Idea Created</t>
  </si>
  <si>
    <t xml:space="preserve">Product</t>
  </si>
  <si>
    <t xml:space="preserve">Niche</t>
  </si>
  <si>
    <t xml:space="preserve">Idea Quantity</t>
  </si>
  <si>
    <t xml:space="preserve">PIC</t>
  </si>
  <si>
    <t xml:space="preserve">Created (Ideas In Design step)</t>
  </si>
  <si>
    <t xml:space="preserve">Pending</t>
  </si>
  <si>
    <t xml:space="preserve">
(EVERGREEN, MEMORIAL, BROTHER, SISTER)
Mug (Funny, Couple, Bestie, Family)
Shirt (Couple, Memorial, Family)
Car Ornament/Car Visor Clip
Bunny (Memorial, bà cháu)
Bracelet Memorial
Whiskey Glass (3D)
Wooden Match Box (NEW)
Compact Mirror (NEW)
FISHING, GARDEN, RETIREMENT, CAMPING (Các niche nhỏ, demand k nhiều nên chú ý số lượng)
Mug
Car ornament
Ceramic Plant Pot With Tray (bà cháu, garden)
Reaction </t>
  </si>
  <si>
    <t xml:space="preserve">Bunny</t>
  </si>
  <si>
    <t xml:space="preserve">Family (bà cháu)/Memorial</t>
  </si>
  <si>
    <t xml:space="preserve">Ngân</t>
  </si>
  <si>
    <t xml:space="preserve">TOTAL</t>
  </si>
  <si>
    <t xml:space="preserve">Bracelet</t>
  </si>
  <si>
    <t xml:space="preserve">Sister/Couple/Grandma/memorial</t>
  </si>
  <si>
    <t xml:space="preserve">Thúy</t>
  </si>
  <si>
    <t xml:space="preserve">Mai</t>
  </si>
  <si>
    <t xml:space="preserve">Hoa</t>
  </si>
  <si>
    <t xml:space="preserve">Woman Brief/legging</t>
  </si>
  <si>
    <t xml:space="preserve">Couple (hướng nam tặng nữ)</t>
  </si>
  <si>
    <t xml:space="preserve">Huyền</t>
  </si>
  <si>
    <t xml:space="preserve">Bottle Lamp/Jar Light</t>
  </si>
  <si>
    <t xml:space="preserve">Sister, memorial, couple</t>
  </si>
  <si>
    <t xml:space="preserve">Khanh</t>
  </si>
  <si>
    <t xml:space="preserve">Whiskey Glass (3D)</t>
  </si>
  <si>
    <t xml:space="preserve">Family, Hobby</t>
  </si>
  <si>
    <t xml:space="preserve">Circle Metallic Mirror</t>
  </si>
  <si>
    <t xml:space="preserve">Bestie, Family (Sisters, bà cháu)</t>
  </si>
  <si>
    <t xml:space="preserve">Apron</t>
  </si>
  <si>
    <t xml:space="preserve">Grandma, Family</t>
  </si>
  <si>
    <t xml:space="preserve">Wooden Match Box</t>
  </si>
  <si>
    <t xml:space="preserve">Couple, Bestie</t>
  </si>
  <si>
    <t xml:space="preserve">Ceramic Plant Pot With Tray</t>
  </si>
  <si>
    <t xml:space="preserve">Family (bà cháu, mẹ con), garden</t>
  </si>
  <si>
    <t xml:space="preserve">Car Ornament/Car Visor Clip</t>
  </si>
  <si>
    <t xml:space="preserve">Memorial</t>
  </si>
  <si>
    <t xml:space="preserve">Mug, Whiskey Glass</t>
  </si>
  <si>
    <t xml:space="preserve">Reaction</t>
  </si>
  <si>
    <t xml:space="preserve">Idea Creator</t>
  </si>
  <si>
    <t xml:space="preserve">Idea Created</t>
  </si>
  <si>
    <t xml:space="preserve">Linh</t>
  </si>
  <si>
    <t xml:space="preserve">Product</t>
  </si>
  <si>
    <t xml:space="preserve">Niche</t>
  </si>
  <si>
    <t xml:space="preserve">Idea Quantity</t>
  </si>
  <si>
    <t xml:space="preserve">PIC</t>
  </si>
  <si>
    <t xml:space="preserve">Created (Ideas In Design step)</t>
  </si>
  <si>
    <t xml:space="preserve">Pending</t>
  </si>
  <si>
    <t/>
    <r>
      <rPr>
        <b val="false"/>
        <i val="false"/>
        <strike val="false"/>
        <sz val="10"/>
        <color rgb="FF1F2329"/>
      </rPr>
      <t xml:space="preserve">(China Valentine + Black History Month)
Car hanging ornament, car visor clip (memorial)
Apron (Bà cháu)
Pocket Hug (focus)
Compact mirror
Mug
Lighting (Bottle Lamp, Mason...)
For men (Wallet, Cap, Belt) 
Cap (Black history month)
Doormat + Interest
Plaque, light box
Wine Glass
</t>
    </r>
    <r>
      <rPr>
        <b val="true"/>
        <i val="false"/>
        <strike val="false"/>
        <sz val="10"/>
        <color rgb="FF1F2329"/>
      </rPr>
      <t xml:space="preserve">*Số idea ở đây là bao gồm cả crossing/scale/new nhé, idea new thì tập trung chất lượng nhé
*Cuối tuần mn ghi số lượng và note một số lưu ý/quan sát cá nhân (nếu có)</t>
    </r>
  </si>
  <si>
    <t xml:space="preserve">Pocket Hug</t>
  </si>
  <si>
    <t xml:space="preserve">Couple (focus), memorial</t>
  </si>
  <si>
    <t xml:space="preserve">Huyền</t>
  </si>
  <si>
    <t xml:space="preserve">Ngân</t>
  </si>
  <si>
    <t xml:space="preserve">TOTAL</t>
  </si>
  <si>
    <t xml:space="preserve">Circle Metallic Mirror</t>
  </si>
  <si>
    <t xml:space="preserve">Bestie, Family (Sisters, bà cháu, mẹ con), couple (chồng mua cho vợ)</t>
  </si>
  <si>
    <t xml:space="preserve">Thúy</t>
  </si>
  <si>
    <t xml:space="preserve">Linh</t>
  </si>
  <si>
    <t xml:space="preserve">Car Ornament/Car Visor</t>
  </si>
  <si>
    <t xml:space="preserve">Memorial, couple</t>
  </si>
  <si>
    <t xml:space="preserve">Hoa</t>
  </si>
  <si>
    <t xml:space="preserve">Mai</t>
  </si>
  <si>
    <t xml:space="preserve">Apron</t>
  </si>
  <si>
    <t xml:space="preserve">Bà cháu/hobby</t>
  </si>
  <si>
    <t xml:space="preserve">Mug</t>
  </si>
  <si>
    <t xml:space="preserve">Family/Bestie Sister/Hobby/Couple (3D)</t>
  </si>
  <si>
    <t xml:space="preserve">Bottle Lamp/Jar Light</t>
  </si>
  <si>
    <t xml:space="preserve">Bestie Sister, couple</t>
  </si>
  <si>
    <t xml:space="preserve">Khanh</t>
  </si>
  <si>
    <t xml:space="preserve">Whiskey Glass (3D)</t>
  </si>
  <si>
    <t xml:space="preserve">Couple, hobby (for men)</t>
  </si>
  <si>
    <t xml:space="preserve">Wallet</t>
  </si>
  <si>
    <t xml:space="preserve">Couple (for men)</t>
  </si>
  <si>
    <t xml:space="preserve">Leather Belt</t>
  </si>
  <si>
    <t xml:space="preserve">Couple</t>
  </si>
  <si>
    <t xml:space="preserve">Classical Cap</t>
  </si>
  <si>
    <t xml:space="preserve">Couple (for men), Black History Month</t>
  </si>
  <si>
    <t xml:space="preserve">Doormat</t>
  </si>
  <si>
    <t xml:space="preserve">Family, Couple (có kết hợp hobby như camping, pet...)</t>
  </si>
  <si>
    <t xml:space="preserve">Plaque/Light Box</t>
  </si>
  <si>
    <t xml:space="preserve">Couple (3D)</t>
  </si>
  <si>
    <t xml:space="preserve">All Products</t>
  </si>
  <si>
    <t xml:space="preserve">Reaction</t>
  </si>
  <si>
    <t xml:space="preserve">Idea Creator</t>
  </si>
  <si>
    <t xml:space="preserve">Idea Created</t>
  </si>
  <si>
    <t xml:space="preserve">Product</t>
  </si>
  <si>
    <t xml:space="preserve">Niche</t>
  </si>
  <si>
    <t xml:space="preserve">Idea Quantity</t>
  </si>
  <si>
    <t xml:space="preserve">PIC</t>
  </si>
  <si>
    <t xml:space="preserve">Created (Ideas In Design step)</t>
  </si>
  <si>
    <t xml:space="preserve">Pending</t>
  </si>
  <si>
    <t xml:space="preserve">(Skip Valentine, test Mother's Day)
Hobbies Family (Bà cháu) Memorial 
Tracker Sign (hobbies, book - cross sell BW)
Coin, Shirt (250th)
Warmer Lamp
Plaque (Mẹ con bà cháu)
Apron</t>
  </si>
  <si>
    <t xml:space="preserve">Tracker Sign</t>
  </si>
  <si>
    <t xml:space="preserve">Hobbies (Running, Sewing, Hiking...), Book</t>
  </si>
  <si>
    <t xml:space="preserve">Linh</t>
  </si>
  <si>
    <t xml:space="preserve">TOTAL</t>
  </si>
  <si>
    <t xml:space="preserve">Shirt</t>
  </si>
  <si>
    <t xml:space="preserve">250th Anniversary of the US</t>
  </si>
  <si>
    <t xml:space="preserve">Khanh</t>
  </si>
  <si>
    <t xml:space="preserve">Plaque</t>
  </si>
  <si>
    <t xml:space="preserve">Family (Mẹ con, bà cháu)</t>
  </si>
  <si>
    <t xml:space="preserve">Huyền</t>
  </si>
  <si>
    <t xml:space="preserve">Warmer Lamp</t>
  </si>
  <si>
    <t xml:space="preserve">Memorial, Family, Bestie, Couple</t>
  </si>
  <si>
    <t xml:space="preserve">Apron</t>
  </si>
  <si>
    <t xml:space="preserve">Family (grandma)</t>
  </si>
  <si>
    <t xml:space="preserve">Idea Creator</t>
  </si>
  <si>
    <t xml:space="preserve">Idea Created</t>
  </si>
  <si>
    <t xml:space="preserve">Hoa</t>
  </si>
  <si>
    <t xml:space="preserve">Thúy</t>
  </si>
  <si>
    <t xml:space="preserve">Mai</t>
  </si>
  <si>
    <t xml:space="preserve">Ngân</t>
  </si>
  <si>
    <t xml:space="preserve">Product</t>
  </si>
  <si>
    <t xml:space="preserve">Niche</t>
  </si>
  <si>
    <t xml:space="preserve">Idea Quantity</t>
  </si>
  <si>
    <t xml:space="preserve">PIC</t>
  </si>
  <si>
    <t xml:space="preserve">Created (Ideas In Design step)</t>
  </si>
  <si>
    <t xml:space="preserve">Pending</t>
  </si>
  <si>
    <t xml:space="preserve">Hobbies, Easter, Mother's day (First MD nhe)
Wooden Tracker
Bunny
Onesie 
Shirt
Blanket
REACTION</t>
  </si>
  <si>
    <t xml:space="preserve">Tracker Sign</t>
  </si>
  <si>
    <t xml:space="preserve">Hobbies (Tập trung vào các hobbies các bên chưa làm, phù hợp với JM như các hobbies cho cháu, các hướng idea mới trên thị trường chưa khai thác), 3D, Book (crossing bên BW sang)</t>
  </si>
  <si>
    <t xml:space="preserve">Khanh</t>
  </si>
  <si>
    <t xml:space="preserve">TOTAL</t>
  </si>
  <si>
    <t xml:space="preserve">Shirt</t>
  </si>
  <si>
    <t xml:space="preserve">Grandma (MD, Easter kiểu nhiều cháu)</t>
  </si>
  <si>
    <t xml:space="preserve">Huyền</t>
  </si>
  <si>
    <t xml:space="preserve">Bunny</t>
  </si>
  <si>
    <t xml:space="preserve">Family (First Easter, First MD)</t>
  </si>
  <si>
    <t xml:space="preserve">Hoa</t>
  </si>
  <si>
    <t xml:space="preserve">Onesie</t>
  </si>
  <si>
    <t xml:space="preserve">Family (first MD, First Easter)</t>
  </si>
  <si>
    <t xml:space="preserve">Thúy</t>
  </si>
  <si>
    <t xml:space="preserve">Apron</t>
  </si>
  <si>
    <t xml:space="preserve">Grandma (MD, Easter kiểu nhiều cháu, có thể scale từ shirt qua)</t>
  </si>
  <si>
    <t xml:space="preserve">Blanket</t>
  </si>
  <si>
    <t xml:space="preserve">Ngân</t>
  </si>
  <si>
    <t xml:space="preserve">All Products</t>
  </si>
  <si>
    <t xml:space="preserve">Reaction</t>
  </si>
  <si>
    <t xml:space="preserve">Idea Creator</t>
  </si>
  <si>
    <t xml:space="preserve">Idea Created</t>
  </si>
  <si>
    <t xml:space="preserve">Mai</t>
  </si>
  <si>
    <t xml:space="preserve">Product</t>
  </si>
  <si>
    <t xml:space="preserve">Niche</t>
  </si>
  <si>
    <t xml:space="preserve">Idea Quantity</t>
  </si>
  <si>
    <t xml:space="preserve">PIC</t>
  </si>
  <si>
    <t xml:space="preserve">Created (Ideas In Design step)</t>
  </si>
  <si>
    <t xml:space="preserve">Pending</t>
  </si>
  <si>
    <t xml:space="preserve">Hobbies, Easter, Mother's day (First MD nhe)
Wooden Tracker
Bunny
Onesie 
Shirt
Blanket
REACTION</t>
  </si>
  <si>
    <t xml:space="preserve">Kid Apron</t>
  </si>
  <si>
    <t xml:space="preserve">Hobbies</t>
  </si>
  <si>
    <t xml:space="preserve">Huyền</t>
  </si>
  <si>
    <t xml:space="preserve">TOTAL</t>
  </si>
  <si>
    <t xml:space="preserve">Kid T-Shirt</t>
  </si>
  <si>
    <t xml:space="preserve">Easter (Easter có thể thêm 1-2 idea kết hợp với autism)</t>
  </si>
  <si>
    <t xml:space="preserve">Thúy</t>
  </si>
  <si>
    <t xml:space="preserve">Bunny</t>
  </si>
  <si>
    <t xml:space="preserve">Family (Easter, MD)
Đẩy thêm 1st MD, Easter có thể thêm 1-2 idea kết hợp với autism</t>
  </si>
  <si>
    <t xml:space="preserve">Hoa</t>
  </si>
  <si>
    <t xml:space="preserve">Ngân</t>
  </si>
  <si>
    <t xml:space="preserve">Onesie</t>
  </si>
  <si>
    <t xml:space="preserve">Family (first MD, First Easter)</t>
  </si>
  <si>
    <t xml:space="preserve">Apron</t>
  </si>
  <si>
    <t xml:space="preserve">Grandma (MD, Easter kiểu nhiều cháu, có thể scale từ shirt, crossing từ JS qua), hobbies</t>
  </si>
  <si>
    <t xml:space="preserve">T-shirt</t>
  </si>
  <si>
    <t xml:space="preserve">Memorial (chạy ad để mom để chuẩn bị cho MD), Grandma (MD)</t>
  </si>
  <si>
    <t xml:space="preserve">Crystal lamp</t>
  </si>
  <si>
    <t xml:space="preserve">Memorial (chạy ad để mom để chuẩn bị cho MD, pet memo)</t>
  </si>
  <si>
    <t xml:space="preserve">Bracelet</t>
  </si>
  <si>
    <t xml:space="preserve">Memorial, pet memorial (bản kèm hộp)</t>
  </si>
  <si>
    <t xml:space="preserve">All Products</t>
  </si>
  <si>
    <t xml:space="preserve">Reaction</t>
  </si>
  <si>
    <t xml:space="preserve">Idea Creator</t>
  </si>
  <si>
    <t xml:space="preserve">Idea Created</t>
  </si>
  <si>
    <t xml:space="preserve">Mai</t>
  </si>
  <si>
    <t xml:space="preserve">Occasions</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</si>
  <si>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</si>
  <si>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</si>
  <si>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</si>
  <si>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</si>
  <si>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</si>
  <si>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</si>
  <si>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</si>
  <si>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</si>
  <si>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r>
      <rPr>
        <b val="true"/>
        <i val="false"/>
        <strike val="false"/>
        <sz val="10"/>
        <color rgb="FF1F2329"/>
      </rPr>
      <t xml:space="preserve">Easter (reaction): </t>
    </r>
    <r>
      <rPr>
        <b val="false"/>
        <i val="false"/>
        <strike val="false"/>
        <sz val="10"/>
        <color rgb="FF1F2329"/>
      </rPr>
      <t xml:space="preserve">bunny, easter basket
Soft ball, base ball (sentimental/hobbies for grandkids), kid apron (hobbies)
</t>
    </r>
    <r>
      <rPr>
        <b val="true"/>
        <i val="false"/>
        <strike val="false"/>
        <sz val="10"/>
        <color rgb="FF1F2329"/>
      </rPr>
      <t>MD:</t>
    </r>
    <r>
      <rPr>
        <b val="false"/>
        <i val="false"/>
        <strike val="false"/>
        <sz val="10"/>
        <color rgb="FF1F2329"/>
      </rPr>
      <t xml:space="preserve"> rose domp lamp, pocket hug, plaque, necklace (grandma, ck tặng vk), apron, sleeptee, handbag (grandma, hobby), 
Shirt with inner neck (test cho cả couple, memorial)
</t>
    </r>
    <r>
      <rPr>
        <b val="true"/>
        <i val="false"/>
        <strike val="false"/>
        <sz val="10"/>
        <color rgb="FF1F2329"/>
      </rPr>
      <t xml:space="preserve">Graduation: </t>
    </r>
    <r>
      <rPr>
        <b val="false"/>
        <i val="false"/>
        <strike val="false"/>
        <sz val="10"/>
        <color rgb="FF1F2329"/>
      </rPr>
      <t xml:space="preserve">necklace, bracelet, teddy bear, plaque, crystal lamp
</t>
    </r>
  </si>
  <si>
    <t xml:space="preserve">Evergreen</t>
  </si>
  <si>
    <t xml:space="preserve">Accessories</t>
  </si>
  <si>
    <t xml:space="preserve">Softball/Baseball</t>
  </si>
  <si>
    <t xml:space="preserve">(sentimental/hobbies for grandkids)
crossing JS</t>
  </si>
  <si>
    <t xml:space="preserve">Thúy</t>
  </si>
  <si>
    <t xml:space="preserve">Kid Classic Cap</t>
  </si>
  <si>
    <t xml:space="preserve">hobbies, Faith, sport</t>
  </si>
  <si>
    <t xml:space="preserve">Ngân</t>
  </si>
  <si>
    <t xml:space="preserve">TOTAL</t>
  </si>
  <si>
    <t xml:space="preserve">Apparel</t>
  </si>
  <si>
    <t xml:space="preserve">Kid apron</t>
  </si>
  <si>
    <t xml:space="preserve">hobbies </t>
  </si>
  <si>
    <t xml:space="preserve">Huyền</t>
  </si>
  <si>
    <t xml:space="preserve">Total</t>
  </si>
  <si>
    <t xml:space="preserve">Mother's Day</t>
  </si>
  <si>
    <t xml:space="preserve">Decor</t>
  </si>
  <si>
    <t xml:space="preserve">Everlasting Rose Dome lamp</t>
  </si>
  <si>
    <t xml:space="preserve">grandma, ck tặng vk MD</t>
  </si>
  <si>
    <t xml:space="preserve">Plaque</t>
  </si>
  <si>
    <t xml:space="preserve">Grandma, Mom, Wife</t>
  </si>
  <si>
    <t xml:space="preserve">Acrylic Night Light</t>
  </si>
  <si>
    <t xml:space="preserve">Grandma, Mom, Wife, Daughter</t>
  </si>
  <si>
    <t xml:space="preserve">Hoa</t>
  </si>
  <si>
    <t xml:space="preserve">Shirt With Inner Neck</t>
  </si>
  <si>
    <t xml:space="preserve">Family (Grandma, Mom), Couple, Memorial</t>
  </si>
  <si>
    <t xml:space="preserve">Linh</t>
  </si>
  <si>
    <t xml:space="preserve">Apron</t>
  </si>
  <si>
    <t xml:space="preserve">Grandma, Mom (crossing SB)</t>
  </si>
  <si>
    <t xml:space="preserve">Hobby (for grandma, mom, bán pack)</t>
  </si>
  <si>
    <t xml:space="preserve">Sleep tee</t>
  </si>
  <si>
    <t xml:space="preserve">Hug Charm Necklace </t>
  </si>
  <si>
    <t xml:space="preserve">ck tặng vk MD</t>
  </si>
  <si>
    <t xml:space="preserve">Ưu tiên hướng Sentimental</t>
  </si>
  <si>
    <t xml:space="preserve">Cuff bracelet</t>
  </si>
  <si>
    <t xml:space="preserve">Grandma, Mom</t>
  </si>
  <si>
    <t xml:space="preserve">Wife, Daughter</t>
  </si>
  <si>
    <t xml:space="preserve">Handbag</t>
  </si>
  <si>
    <t xml:space="preserve">Drinkware</t>
  </si>
  <si>
    <t xml:space="preserve">Tumbler</t>
  </si>
  <si>
    <t xml:space="preserve">Grandma, Mom, Wife, Daughter, Bestie, Sister (focus on sentimental)</t>
  </si>
  <si>
    <t xml:space="preserve">Mug</t>
  </si>
  <si>
    <t xml:space="preserve">Graduation</t>
  </si>
  <si>
    <t xml:space="preserve">Necklace/cuff bracelet</t>
  </si>
  <si>
    <t xml:space="preserve">graduation</t>
  </si>
  <si>
    <t xml:space="preserve">lên trước idea draft/chờ sp mới</t>
  </si>
  <si>
    <t xml:space="preserve">Teddy bear</t>
  </si>
  <si>
    <t xml:space="preserve">Graduation (funny, sentimental, memorial clipart)</t>
  </si>
  <si>
    <t xml:space="preserve">Graduation Tassel Charm</t>
  </si>
  <si>
    <t xml:space="preserve">Crystal lamp</t>
  </si>
  <si>
    <t xml:space="preserve">Easter, 250th Anniversary
Memorial Evergreen</t>
  </si>
  <si>
    <t xml:space="preserve">All</t>
  </si>
  <si>
    <t xml:space="preserve">All Products</t>
  </si>
  <si>
    <t xml:space="preserve">Reaction</t>
  </si>
  <si>
    <t xml:space="preserve">Idea Creator</t>
  </si>
  <si>
    <t xml:space="preserve">Idea Created</t>
  </si>
  <si>
    <t xml:space="preserve">Occasions</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</si>
  <si>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</si>
  <si>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</si>
  <si>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</si>
  <si>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</si>
  <si>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</si>
  <si>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</si>
  <si>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</si>
  <si>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</si>
  <si>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r>
      <rPr>
        <b val="true"/>
        <i val="false"/>
        <strike val="false"/>
        <sz val="10"/>
        <color rgb="FF1F2329"/>
      </rPr>
      <t xml:space="preserve">Easter (reaction): </t>
    </r>
    <r>
      <rPr>
        <b val="false"/>
        <i val="false"/>
        <strike val="false"/>
        <sz val="10"/>
        <color rgb="FF1F2329"/>
      </rPr>
      <t xml:space="preserve">bunny, easter basket
Soft ball, base ball (sentimental/hobbies for grandkids), kid apron (hobbies)
</t>
    </r>
    <r>
      <rPr>
        <b val="true"/>
        <i val="false"/>
        <strike val="false"/>
        <sz val="10"/>
        <color rgb="FF1F2329"/>
      </rPr>
      <t>MD:</t>
    </r>
    <r>
      <rPr>
        <b val="false"/>
        <i val="false"/>
        <strike val="false"/>
        <sz val="10"/>
        <color rgb="FF1F2329"/>
      </rPr>
      <t xml:space="preserve"> rose domp lamp, pocket hug, plaque, necklace (grandma, ck tặng vk), apron, sleeptee, handbag (grandma, hobby), 
Shirt with inner neck (test cho cả couple, memorial)
</t>
    </r>
    <r>
      <rPr>
        <b val="true"/>
        <i val="false"/>
        <strike val="false"/>
        <sz val="10"/>
        <color rgb="FF1F2329"/>
      </rPr>
      <t xml:space="preserve">Graduation: </t>
    </r>
    <r>
      <rPr>
        <b val="false"/>
        <i val="false"/>
        <strike val="false"/>
        <sz val="10"/>
        <color rgb="FF1F2329"/>
      </rPr>
      <t xml:space="preserve">necklace, bracelet, teddy bear, plaque, crystal lamp
</t>
    </r>
  </si>
  <si>
    <t xml:space="preserve">Evergreen
(tuần nào cũng phải làm)</t>
  </si>
  <si>
    <t xml:space="preserve">Kid</t>
  </si>
  <si>
    <t xml:space="preserve">Softball/Baseball
Kid apron
Car accessories (car ornament, car visor...)
Jewelry (necklace, bracelet)</t>
  </si>
  <si>
    <t xml:space="preserve">Family (for kids, grandkids)</t>
  </si>
  <si>
    <t xml:space="preserve">Huyền</t>
  </si>
  <si>
    <t xml:space="preserve">memorial</t>
  </si>
  <si>
    <t xml:space="preserve">bestie</t>
  </si>
  <si>
    <t xml:space="preserve">Thúy</t>
  </si>
  <si>
    <t xml:space="preserve">couple </t>
  </si>
  <si>
    <t xml:space="preserve">Mai</t>
  </si>
  <si>
    <t xml:space="preserve">Total</t>
  </si>
  <si>
    <t xml:space="preserve">Mother's Day</t>
  </si>
  <si>
    <t xml:space="preserve">Decor</t>
  </si>
  <si>
    <t xml:space="preserve">Led Candle</t>
  </si>
  <si>
    <t xml:space="preserve">mẹ con (mẹ tặng con đã lm mẹ, con tặng mẹ) (focus sentimental)</t>
  </si>
  <si>
    <t xml:space="preserve">Plaque</t>
  </si>
  <si>
    <t xml:space="preserve">Grandma, Mom</t>
  </si>
  <si>
    <t xml:space="preserve">Acrylic Night Light</t>
  </si>
  <si>
    <t xml:space="preserve">Grandma, Mom, Wife, Daughter</t>
  </si>
  <si>
    <t xml:space="preserve">Hoa</t>
  </si>
  <si>
    <t xml:space="preserve">Bottle Lamp</t>
  </si>
  <si>
    <t xml:space="preserve">mẹ con (mẹ tặng con đã lm mẹ, con tặng mẹ)  (focus sentimental)</t>
  </si>
  <si>
    <t xml:space="preserve">Ngân</t>
  </si>
  <si>
    <t xml:space="preserve">Flower Shadow Box With LED Light</t>
  </si>
  <si>
    <t xml:space="preserve">Grandma, Mom, Wife, Daughter,  (focus sentimental)</t>
  </si>
  <si>
    <t xml:space="preserve">TOTAL</t>
  </si>
  <si>
    <t xml:space="preserve">Apparel</t>
  </si>
  <si>
    <t xml:space="preserve">Shirt With Inner Neck/Shirt</t>
  </si>
  <si>
    <t xml:space="preserve">Family (Grandma, Mom), Couple, Memorial</t>
  </si>
  <si>
    <t xml:space="preserve">Linh</t>
  </si>
  <si>
    <t xml:space="preserve">Apron</t>
  </si>
  <si>
    <t xml:space="preserve">Grandma, Mom (crossing SB)</t>
  </si>
  <si>
    <t xml:space="preserve">Sleep tee</t>
  </si>
  <si>
    <t xml:space="preserve">Onesie</t>
  </si>
  <si>
    <t xml:space="preserve">1st MD, 1st MD + memorial</t>
  </si>
  <si>
    <t xml:space="preserve">Accessories</t>
  </si>
  <si>
    <t xml:space="preserve">Hug Charm Necklace </t>
  </si>
  <si>
    <t xml:space="preserve">Ưu tiên hướng Sentimental</t>
  </si>
  <si>
    <t xml:space="preserve">Cuff bracelet</t>
  </si>
  <si>
    <t xml:space="preserve">Handbag</t>
  </si>
  <si>
    <t xml:space="preserve">Wallet</t>
  </si>
  <si>
    <t xml:space="preserve">Mom/grandma
</t>
  </si>
  <si>
    <t xml:space="preserve">Car ornament</t>
  </si>
  <si>
    <t xml:space="preserve">Mom/grandma</t>
  </si>
  <si>
    <t xml:space="preserve">Circle mirror</t>
  </si>
  <si>
    <t xml:space="preserve">Grandma, Mom, Wife, Daughter, (focus on sentimental)</t>
  </si>
  <si>
    <t xml:space="preserve">Phonecase</t>
  </si>
  <si>
    <t xml:space="preserve">Pocket hug</t>
  </si>
  <si>
    <t xml:space="preserve">Drinkware</t>
  </si>
  <si>
    <t xml:space="preserve">Tumbler</t>
  </si>
  <si>
    <t xml:space="preserve">Glass Mug</t>
  </si>
  <si>
    <t xml:space="preserve">Mug (cross qua Accen mug)</t>
  </si>
  <si>
    <t xml:space="preserve">Graduation</t>
  </si>
  <si>
    <t xml:space="preserve">Grad Cap Necklace 2026</t>
  </si>
  <si>
    <t xml:space="preserve">sentimental, memorial, clipart</t>
  </si>
  <si>
    <t xml:space="preserve">lên trước idea draft/chờ sp mới</t>
  </si>
  <si>
    <t xml:space="preserve">Stole</t>
  </si>
  <si>
    <t xml:space="preserve">upload ảnh, memorial, clipart</t>
  </si>
  <si>
    <t xml:space="preserve">Kid Stole (crossing BW)</t>
  </si>
  <si>
    <t xml:space="preserve">Clipart, non-clipart (kindergarten)</t>
  </si>
  <si>
    <t xml:space="preserve">Jewelry Box</t>
  </si>
  <si>
    <t xml:space="preserve">Sentimental, clipart, memorial</t>
  </si>
  <si>
    <t xml:space="preserve">Graduation Tassel Charm</t>
  </si>
  <si>
    <t xml:space="preserve">Memorial</t>
  </si>
  <si>
    <t xml:space="preserve">Teddy Bear</t>
  </si>
  <si>
    <t xml:space="preserve">Funny, memorial, clipart, sentimental</t>
  </si>
  <si>
    <t xml:space="preserve">Crystal lamp</t>
  </si>
  <si>
    <t xml:space="preserve">3D, memorial </t>
  </si>
  <si>
    <t xml:space="preserve">Plaque/wooden plaque</t>
  </si>
  <si>
    <t xml:space="preserve">Clipart, 3D</t>
  </si>
  <si>
    <t xml:space="preserve">Acrylic Night Light/light box</t>
  </si>
  <si>
    <t xml:space="preserve">Clipart và sentimental </t>
  </si>
  <si>
    <t xml:space="preserve">Shirt</t>
  </si>
  <si>
    <t xml:space="preserve">Family, funny + Clipart</t>
  </si>
  <si>
    <t xml:space="preserve">Sweatpants</t>
  </si>
  <si>
    <t xml:space="preserve"> funny + Clipart</t>
  </si>
  <si>
    <t xml:space="preserve">FD (early preparation)</t>
  </si>
  <si>
    <t xml:space="preserve">Dad/grandpa</t>
  </si>
  <si>
    <t xml:space="preserve">whiskey bottle/decanter</t>
  </si>
  <si>
    <t xml:space="preserve">whiskey glass</t>
  </si>
  <si>
    <t xml:space="preserve">tumbler</t>
  </si>
  <si>
    <t xml:space="preserve">Cap</t>
  </si>
  <si>
    <t xml:space="preserve">Car visor</t>
  </si>
  <si>
    <t xml:space="preserve">tặng con trai đã lm bố (focus sentimental)</t>
  </si>
  <si>
    <t xml:space="preserve">Easter, 250th Anniversary
(reaction)</t>
  </si>
  <si>
    <t xml:space="preserve">All</t>
  </si>
  <si>
    <t xml:space="preserve">All Products</t>
  </si>
  <si>
    <t xml:space="preserve">Reaction</t>
  </si>
  <si>
    <t xml:space="preserve">Idea Creator</t>
  </si>
  <si>
    <t xml:space="preserve">Idea Created</t>
  </si>
  <si>
    <t xml:space="preserve">Occasions</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</si>
  <si>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</si>
  <si>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</si>
  <si>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</si>
  <si>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</si>
  <si>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</si>
  <si>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</si>
  <si>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</si>
  <si>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</si>
  <si>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r>
      <rPr>
        <b val="true"/>
        <i val="false"/>
        <strike val="false"/>
        <sz val="10"/>
        <color rgb="FF1F2329"/>
      </rPr>
      <t xml:space="preserve">Easter (reaction): </t>
    </r>
    <r>
      <rPr>
        <b val="false"/>
        <i val="false"/>
        <strike val="false"/>
        <sz val="10"/>
        <color rgb="FF1F2329"/>
      </rPr>
      <t xml:space="preserve">bunny, easter basket
Soft ball, base ball (sentimental/hobbies for grandkids), kid apron (hobbies)
</t>
    </r>
    <r>
      <rPr>
        <b val="true"/>
        <i val="false"/>
        <strike val="false"/>
        <sz val="10"/>
        <color rgb="FF1F2329"/>
      </rPr>
      <t>MD:</t>
    </r>
    <r>
      <rPr>
        <b val="false"/>
        <i val="false"/>
        <strike val="false"/>
        <sz val="10"/>
        <color rgb="FF1F2329"/>
      </rPr>
      <t xml:space="preserve"> rose domp lamp, pocket hug, plaque, necklace (grandma, ck tặng vk), apron, sleeptee, handbag (grandma, hobby), 
Shirt with inner neck (test cho cả couple, memorial)
</t>
    </r>
    <r>
      <rPr>
        <b val="true"/>
        <i val="false"/>
        <strike val="false"/>
        <sz val="10"/>
        <color rgb="FF1F2329"/>
      </rPr>
      <t xml:space="preserve">Graduation: </t>
    </r>
    <r>
      <rPr>
        <b val="false"/>
        <i val="false"/>
        <strike val="false"/>
        <sz val="10"/>
        <color rgb="FF1F2329"/>
      </rPr>
      <t xml:space="preserve">necklace, bracelet, teddy bear, plaque, crystal lamp
</t>
    </r>
  </si>
  <si>
    <t xml:space="preserve">Evergreen
(tuần nào cũng phải làm)</t>
  </si>
  <si>
    <t xml:space="preserve">
Apparel
Accessories</t>
  </si>
  <si>
    <t xml:space="preserve">Bunny</t>
  </si>
  <si>
    <t xml:space="preserve">Bà cháu, for kid/grandkids chung, memorial</t>
  </si>
  <si>
    <t xml:space="preserve">Huyền</t>
  </si>
  <si>
    <t xml:space="preserve">Ưu tiên xong trong tuần</t>
  </si>
  <si>
    <t xml:space="preserve">One-piece</t>
  </si>
  <si>
    <t xml:space="preserve">for kid/grandkids chung, memorial</t>
  </si>
  <si>
    <t xml:space="preserve">Ngân</t>
  </si>
  <si>
    <t xml:space="preserve">Onesie</t>
  </si>
  <si>
    <t xml:space="preserve">Thúy</t>
  </si>
  <si>
    <t xml:space="preserve">Total</t>
  </si>
  <si>
    <t xml:space="preserve">Mother's Day</t>
  </si>
  <si>
    <t xml:space="preserve">Decor</t>
  </si>
  <si>
    <t xml:space="preserve">Plaque</t>
  </si>
  <si>
    <t xml:space="preserve">3D (tìm hiệu ứng mới khác thị trường)
sport mom/hobby for mom</t>
  </si>
  <si>
    <t xml:space="preserve">Mai</t>
  </si>
  <si>
    <t xml:space="preserve">Ưu tiên</t>
  </si>
  <si>
    <t xml:space="preserve">Infinity Mirror Light Box</t>
  </si>
  <si>
    <t xml:space="preserve">Mẹ tặng con gái đã làm mẹ, mẹ con</t>
  </si>
  <si>
    <t xml:space="preserve">Hoa</t>
  </si>
  <si>
    <t xml:space="preserve">Bottle lamp</t>
  </si>
  <si>
    <t xml:space="preserve">Sentimental (mẹ tặng con gái đã làm mẹ)</t>
  </si>
  <si>
    <t xml:space="preserve">TOTAL</t>
  </si>
  <si>
    <t xml:space="preserve">Apparel</t>
  </si>
  <si>
    <t xml:space="preserve">Shirt With Inner Neck</t>
  </si>
  <si>
    <t xml:space="preserve">Memorial (con tưởng nhớ mẹ)
Mẹ tặng con gái đã làm mẹ-sentimental</t>
  </si>
  <si>
    <t xml:space="preserve">Linh</t>
  </si>
  <si>
    <t xml:space="preserve">Apron</t>
  </si>
  <si>
    <t xml:space="preserve">Grandma/Mom</t>
  </si>
  <si>
    <t xml:space="preserve">PJM set</t>
  </si>
  <si>
    <t xml:space="preserve">Accessories</t>
  </si>
  <si>
    <t xml:space="preserve">Cuff Bracelet</t>
  </si>
  <si>
    <t xml:space="preserve">mẹ tặng con gái đã làm mẹ, con tặng mẹ (sentimental), memorial </t>
  </si>
  <si>
    <t xml:space="preserve">Pocket hug</t>
  </si>
  <si>
    <t xml:space="preserve">mẹ tặng con gái đã làm mẹ, con tặng mẹ (sentimental)</t>
  </si>
  <si>
    <t xml:space="preserve">Wooden pocket hug</t>
  </si>
  <si>
    <t xml:space="preserve">scale thử willowtree qua</t>
  </si>
  <si>
    <t xml:space="preserve">Stuffed Elephant</t>
  </si>
  <si>
    <t xml:space="preserve">1st MD, memorial</t>
  </si>
  <si>
    <t xml:space="preserve">Drinkware</t>
  </si>
  <si>
    <t xml:space="preserve">Tumbler</t>
  </si>
  <si>
    <t xml:space="preserve">grandma mom (3D tập trung hiệu ứng mới)</t>
  </si>
  <si>
    <t xml:space="preserve">Graduation</t>
  </si>
  <si>
    <t xml:space="preserve">Grad Cap Necklace 2026</t>
  </si>
  <si>
    <t xml:space="preserve">sentimental, memorial</t>
  </si>
  <si>
    <t xml:space="preserve">Kid Stole (crossing BW)</t>
  </si>
  <si>
    <t xml:space="preserve">sentimental, kid general (làm khác ds đối thủ đi), memorial</t>
  </si>
  <si>
    <t xml:space="preserve">ưu tiên</t>
  </si>
  <si>
    <t xml:space="preserve">Teddy Bear</t>
  </si>
  <si>
    <t xml:space="preserve">Kid graduation (congrats, memorial, sentimental-focus sentimental)
Adult graduation (funny, sentimental, memorial)</t>
  </si>
  <si>
    <t xml:space="preserve">sentimental, memo (con, cháu trai gái)</t>
  </si>
  <si>
    <t xml:space="preserve">Cuff bracelet</t>
  </si>
  <si>
    <t xml:space="preserve">sentimental, memorial (cháu gái)</t>
  </si>
  <si>
    <t xml:space="preserve">Bracelet</t>
  </si>
  <si>
    <t xml:space="preserve">sentimental, memorial  (cháu trai)</t>
  </si>
  <si>
    <t xml:space="preserve">Kid Topper</t>
  </si>
  <si>
    <t xml:space="preserve">shirt with inner neck</t>
  </si>
  <si>
    <t xml:space="preserve">memorial, sentimental</t>
  </si>
  <si>
    <t xml:space="preserve">Easter, 250th Anniversary
(reaction)</t>
  </si>
  <si>
    <t xml:space="preserve">Decor
Apparel</t>
  </si>
  <si>
    <t xml:space="preserve">Fan flag
Banner
T-shirt</t>
  </si>
  <si>
    <t xml:space="preserve">T-shirt - Family (grandma,grandpa,dad, mom 
+ cờ Mỹ)
Fan flag, banner (clone các camp win ở sp khác của đối thủ lên)</t>
  </si>
  <si>
    <t xml:space="preserve">Idea Creator</t>
  </si>
  <si>
    <t xml:space="preserve">Idea Created</t>
  </si>
  <si>
    <t xml:space="preserve">                                                                                                         </t>
  </si>
  <si>
    <t xml:space="preserve">Occasions</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</si>
  <si>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</si>
  <si>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</si>
  <si>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</si>
  <si>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</si>
  <si>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</si>
  <si>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</si>
  <si>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</si>
  <si>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</si>
  <si>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r>
      <rPr>
        <b val="true"/>
        <i val="false"/>
        <strike val="false"/>
        <sz val="10"/>
        <color rgb="FF1F2329"/>
      </rPr>
      <t xml:space="preserve">Easter (reaction): </t>
    </r>
    <r>
      <rPr>
        <b val="false"/>
        <i val="false"/>
        <strike val="false"/>
        <sz val="10"/>
        <color rgb="FF1F2329"/>
      </rPr>
      <t xml:space="preserve">bunny, easter basket
Soft ball, base ball (sentimental/hobbies for grandkids), kid apron (hobbies)
</t>
    </r>
    <r>
      <rPr>
        <b val="true"/>
        <i val="false"/>
        <strike val="false"/>
        <sz val="10"/>
        <color rgb="FF1F2329"/>
      </rPr>
      <t>MD:</t>
    </r>
    <r>
      <rPr>
        <b val="false"/>
        <i val="false"/>
        <strike val="false"/>
        <sz val="10"/>
        <color rgb="FF1F2329"/>
      </rPr>
      <t xml:space="preserve"> rose domp lamp, pocket hug, plaque, necklace (grandma, ck tặng vk), apron, sleeptee, handbag (grandma, hobby), 
Shirt with inner neck (test cho cả couple, memorial)
</t>
    </r>
    <r>
      <rPr>
        <b val="true"/>
        <i val="false"/>
        <strike val="false"/>
        <sz val="10"/>
        <color rgb="FF1F2329"/>
      </rPr>
      <t xml:space="preserve">Graduation: </t>
    </r>
    <r>
      <rPr>
        <b val="false"/>
        <i val="false"/>
        <strike val="false"/>
        <sz val="10"/>
        <color rgb="FF1F2329"/>
      </rPr>
      <t xml:space="preserve">necklace, bracelet, teddy bear, plaque, crystal lamp
</t>
    </r>
  </si>
  <si>
    <t xml:space="preserve">Evergreen
(tuần nào cũng phải làm)</t>
  </si>
  <si>
    <t xml:space="preserve">
Apparel
Accessories</t>
  </si>
  <si>
    <t xml:space="preserve">Sippie Cup</t>
  </si>
  <si>
    <t xml:space="preserve">Bà cháu, for kid/grandkids chung</t>
  </si>
  <si>
    <t xml:space="preserve">Huyền</t>
  </si>
  <si>
    <t xml:space="preserve">bắt buộc xong trong tuần</t>
  </si>
  <si>
    <t xml:space="preserve">Kid apron</t>
  </si>
  <si>
    <t xml:space="preserve">for kid/grandkids chung</t>
  </si>
  <si>
    <t xml:space="preserve">Mai</t>
  </si>
  <si>
    <t xml:space="preserve">Suncatcher</t>
  </si>
  <si>
    <t xml:space="preserve">Thúy</t>
  </si>
  <si>
    <t xml:space="preserve">Total</t>
  </si>
  <si>
    <t xml:space="preserve">Mother's Day</t>
  </si>
  <si>
    <t xml:space="preserve">Decor</t>
  </si>
  <si>
    <t xml:space="preserve">Plaque</t>
  </si>
  <si>
    <t xml:space="preserve">3D (tìm hiệu ứng mới khác thị trường)
sport mom/hobby for mom</t>
  </si>
  <si>
    <t xml:space="preserve">Ngân</t>
  </si>
  <si>
    <t xml:space="preserve">Ưu tiên</t>
  </si>
  <si>
    <t xml:space="preserve">Infinity Mirror Light Box</t>
  </si>
  <si>
    <t xml:space="preserve">Mẹ tặng con gái lớn/đã làm mẹ, mẹ con</t>
  </si>
  <si>
    <t xml:space="preserve">Hoa</t>
  </si>
  <si>
    <t xml:space="preserve">Bottle lamp</t>
  </si>
  <si>
    <t xml:space="preserve">Sentimental (mẹ tặng con gái lớn, mẹ con)</t>
  </si>
  <si>
    <t xml:space="preserve">TOTAL</t>
  </si>
  <si>
    <t xml:space="preserve">Apparel</t>
  </si>
  <si>
    <t xml:space="preserve">Shirt With Inner Neck</t>
  </si>
  <si>
    <t xml:space="preserve">Memorial (con tưởng nhớ mẹ)
Mẹ tặng con gái lớn- focus sentimental
In cả 2 phía, in màu (trc là funny, sau là sentimental?)</t>
  </si>
  <si>
    <t xml:space="preserve">Linh</t>
  </si>
  <si>
    <t xml:space="preserve">Apron</t>
  </si>
  <si>
    <t xml:space="preserve">Grandma/Mom</t>
  </si>
  <si>
    <t xml:space="preserve">PJM set</t>
  </si>
  <si>
    <t xml:space="preserve">Accessories</t>
  </si>
  <si>
    <t xml:space="preserve">Cuff Bracelet</t>
  </si>
  <si>
    <t xml:space="preserve">mẹ tặng con gái đã làm mẹ, con tặng mẹ (sentimental), memorial </t>
  </si>
  <si>
    <t xml:space="preserve">Pocket hug</t>
  </si>
  <si>
    <t xml:space="preserve">mẹ tặng con gái đã làm mẹ, con tặng mẹ (sentimental)</t>
  </si>
  <si>
    <t xml:space="preserve">Wooden pocket hug</t>
  </si>
  <si>
    <t xml:space="preserve">scale thử các camp win mẹ con, bà cháu, memorial</t>
  </si>
  <si>
    <t xml:space="preserve">Notebook</t>
  </si>
  <si>
    <t xml:space="preserve">mẹ tặng con gái/cháu gái lớn (focus sentimental)</t>
  </si>
  <si>
    <t xml:space="preserve">Drinkware</t>
  </si>
  <si>
    <t xml:space="preserve">Tumbler</t>
  </si>
  <si>
    <t xml:space="preserve">grandma mom (3D tập trung hiệu ứng mới), Mẹ tặng con gái, cháu gái lớn (3D + sentimental-focus)</t>
  </si>
  <si>
    <t xml:space="preserve">Graduation</t>
  </si>
  <si>
    <t xml:space="preserve">Kid Stole (crossing BW)</t>
  </si>
  <si>
    <t xml:space="preserve">sentimental, kid general (làm khác ds đối thủ đi), memorial</t>
  </si>
  <si>
    <t xml:space="preserve">ưu tiên</t>
  </si>
  <si>
    <t xml:space="preserve">Stole</t>
  </si>
  <si>
    <t xml:space="preserve">upload ảnh, memorial, clipart, sentimental (focus memorial, sentimental)</t>
  </si>
  <si>
    <t xml:space="preserve">Teddy Bear</t>
  </si>
  <si>
    <t xml:space="preserve">Kid graduation (congrats, memorial, sentimental-focus sentimental)
Adult graduation (funny, sentimental)</t>
  </si>
  <si>
    <t xml:space="preserve">sentimental, memo (con, cháu trai gái)</t>
  </si>
  <si>
    <t xml:space="preserve">Cuff bracelet</t>
  </si>
  <si>
    <t xml:space="preserve">sentimental, memorial (cháu gái)</t>
  </si>
  <si>
    <t xml:space="preserve">Bracelet</t>
  </si>
  <si>
    <t xml:space="preserve">sentimental, memorial  (cháu trai)</t>
  </si>
  <si>
    <t xml:space="preserve">Kid Topper (crossing BW)</t>
  </si>
  <si>
    <t xml:space="preserve">shirt with inner neck</t>
  </si>
  <si>
    <t xml:space="preserve">memorial, sentimental</t>
  </si>
  <si>
    <t xml:space="preserve">Easter, 250th Anniversary
(reaction)</t>
  </si>
  <si>
    <t xml:space="preserve">Decor
Apparel</t>
  </si>
  <si>
    <t xml:space="preserve">Fan flag
Banner
Metal garden stake
T-shirt
whiskey bottle</t>
  </si>
  <si>
    <t xml:space="preserve">T-shirt - Family (grandma,grandpa,dad, mom 
+ cờ Mỹ) - (focus grandpa/dad, veteran, u.s army)
Metal garden stake (3D)</t>
  </si>
  <si>
    <t xml:space="preserve">FD</t>
  </si>
  <si>
    <t xml:space="preserve">Drinkware
Apparel
Accessories</t>
  </si>
  <si>
    <t xml:space="preserve">Whiskey bottle (scale whiskey glass)</t>
  </si>
  <si>
    <t xml:space="preserve">dad/grandpa 3D, có thể kết hợp cờ Mỹ</t>
  </si>
  <si>
    <t xml:space="preserve">bố mẹ tặng con trai lớn, con trai đã làm bố, to dad, to husband funny, sentimental, fist bump (đưa tất cả camp win to trên shirt lên trc)</t>
  </si>
  <si>
    <t xml:space="preserve">Classic cap</t>
  </si>
  <si>
    <t xml:space="preserve">3D, có thể kết hợp cờ Mỹ, sentimental, bố mẹ tặng con trai lớn, con trai đã làm bố, to dad, to husband</t>
  </si>
  <si>
    <t xml:space="preserve">Idea Creator</t>
  </si>
  <si>
    <t xml:space="preserve">Idea Created</t>
  </si>
  <si>
    <t xml:space="preserve">                                                                                                         </t>
  </si>
  <si>
    <t xml:space="preserve">Occasions</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</si>
  <si>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</si>
  <si>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</si>
  <si>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</si>
  <si>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</si>
  <si>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</si>
  <si>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</si>
  <si>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</si>
  <si>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</si>
  <si>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r>
      <rPr>
        <b val="true"/>
        <i val="false"/>
        <strike val="false"/>
        <sz val="10"/>
        <color rgb="FF1F2329"/>
      </rPr>
      <t xml:space="preserve">Easter (reaction): </t>
    </r>
    <r>
      <rPr>
        <b val="false"/>
        <i val="false"/>
        <strike val="false"/>
        <sz val="10"/>
        <color rgb="FF1F2329"/>
      </rPr>
      <t xml:space="preserve">bunny, easter basket
Soft ball, base ball (sentimental/hobbies for grandkids), kid apron (hobbies)
</t>
    </r>
    <r>
      <rPr>
        <b val="true"/>
        <i val="false"/>
        <strike val="false"/>
        <sz val="10"/>
        <color rgb="FF1F2329"/>
      </rPr>
      <t>MD:</t>
    </r>
    <r>
      <rPr>
        <b val="false"/>
        <i val="false"/>
        <strike val="false"/>
        <sz val="10"/>
        <color rgb="FF1F2329"/>
      </rPr>
      <t xml:space="preserve"> rose domp lamp, pocket hug, plaque, necklace (grandma, ck tặng vk), apron, sleeptee, handbag (grandma, hobby), 
Shirt with inner neck (test cho cả couple, memorial)
</t>
    </r>
    <r>
      <rPr>
        <b val="true"/>
        <i val="false"/>
        <strike val="false"/>
        <sz val="10"/>
        <color rgb="FF1F2329"/>
      </rPr>
      <t xml:space="preserve">Graduation: </t>
    </r>
    <r>
      <rPr>
        <b val="false"/>
        <i val="false"/>
        <strike val="false"/>
        <sz val="10"/>
        <color rgb="FF1F2329"/>
      </rPr>
      <t xml:space="preserve">necklace, bracelet, teddy bear, plaque, crystal lamp
</t>
    </r>
  </si>
  <si>
    <t xml:space="preserve">Evergreen
(tuần nào cũng phải làm)</t>
  </si>
  <si>
    <t xml:space="preserve">
Home Decor</t>
  </si>
  <si>
    <t xml:space="preserve">Suncatcher</t>
  </si>
  <si>
    <t xml:space="preserve">for kid/grandkids chung</t>
  </si>
  <si>
    <t xml:space="preserve">Thúy</t>
  </si>
  <si>
    <t xml:space="preserve">Bắt buộc xong trong tuần</t>
  </si>
  <si>
    <t xml:space="preserve">Total</t>
  </si>
  <si>
    <t xml:space="preserve">Mother's Day (Crossing SB)</t>
  </si>
  <si>
    <t xml:space="preserve">Decor</t>
  </si>
  <si>
    <t xml:space="preserve">Plaque</t>
  </si>
  <si>
    <t xml:space="preserve">3D (tìm hiệu ứng mới khác thị trường)
sport mom/hobby for mom
Scale các hiệu ứng bên mk bán đc</t>
  </si>
  <si>
    <t xml:space="preserve">Mai</t>
  </si>
  <si>
    <t xml:space="preserve">Infinity Mirror Light Box</t>
  </si>
  <si>
    <t xml:space="preserve">Mẹ tặng con gái lớn/đã làm mẹ, mẹ con, tặng vk, thử hướng ở xa</t>
  </si>
  <si>
    <t xml:space="preserve">Hoa</t>
  </si>
  <si>
    <t xml:space="preserve">Round base Acrylic night light</t>
  </si>
  <si>
    <t xml:space="preserve">For mom/grandma/daughter/vk
3D</t>
  </si>
  <si>
    <t xml:space="preserve">Bích</t>
  </si>
  <si>
    <t xml:space="preserve">ưu tiên</t>
  </si>
  <si>
    <t xml:space="preserve">Flower shadow box</t>
  </si>
  <si>
    <t xml:space="preserve">TOTAL</t>
  </si>
  <si>
    <t xml:space="preserve">Apparel</t>
  </si>
  <si>
    <t xml:space="preserve">V-neck shirt with inner neck</t>
  </si>
  <si>
    <t xml:space="preserve">Memorial (con tưởng nhớ mẹ)
Mẹ tặng con gái lớn, cháu gái- focus sentimental
In cả 2 phía, in màu</t>
  </si>
  <si>
    <t xml:space="preserve">Linh</t>
  </si>
  <si>
    <t xml:space="preserve">High</t>
  </si>
  <si>
    <t xml:space="preserve">ck Tặng vợ</t>
  </si>
  <si>
    <t xml:space="preserve">Trang</t>
  </si>
  <si>
    <t xml:space="preserve">T-shirt</t>
  </si>
  <si>
    <t xml:space="preserve">Grandma/Mom 3D, word search
Thử hết lại các concept clipart win non human</t>
  </si>
  <si>
    <t xml:space="preserve">Ngân</t>
  </si>
  <si>
    <t xml:space="preserve">PJM set</t>
  </si>
  <si>
    <t xml:space="preserve">Grandma/Mom</t>
  </si>
  <si>
    <t xml:space="preserve">Accessories</t>
  </si>
  <si>
    <t xml:space="preserve">Cuff Bracelet</t>
  </si>
  <si>
    <t xml:space="preserve">mẹ con, ck tặng vk</t>
  </si>
  <si>
    <t xml:space="preserve">Huyền</t>
  </si>
  <si>
    <t xml:space="preserve">Pocket hug</t>
  </si>
  <si>
    <t xml:space="preserve">mẹ tặng con gái đã làm mẹ, con tặng mẹ (sentimental), 1st MD</t>
  </si>
  <si>
    <t xml:space="preserve">Wooden pocket hug</t>
  </si>
  <si>
    <t xml:space="preserve">scale thử các camp win mẹ con, bà cháu, memorial</t>
  </si>
  <si>
    <t xml:space="preserve">Forever And Always Heart Necklace (SP mới)</t>
  </si>
  <si>
    <t xml:space="preserve">mẹ tặng con gái/cháu gái lớn (focus sentimental)</t>
  </si>
  <si>
    <t xml:space="preserve">chờ sp mới</t>
  </si>
  <si>
    <t xml:space="preserve">Heart Necklace</t>
  </si>
  <si>
    <t xml:space="preserve">Drinkware
thử cả mấy hướng mẹ con ở xa nhau</t>
  </si>
  <si>
    <t xml:space="preserve">Tumbler</t>
  </si>
  <si>
    <t xml:space="preserve">grandma mom (3D tập trung hiệu ứng mới), Mẹ tặng con gái, cháu gái lớn (3D + sentimental-focus)
Thử hết lại các concept clipart win non human, sister
new concept:word search</t>
  </si>
  <si>
    <t xml:space="preserve">Mug</t>
  </si>
  <si>
    <t xml:space="preserve">grandma mom (3D tập trung hiệu ứng mới), Mẹ tặng con gái, cháu gái lớn (3D + sentimental-focus), sister
Thử hết lại các concept clipart win non human
new concept:word search</t>
  </si>
  <si>
    <t xml:space="preserve">Stemless Wine Glass</t>
  </si>
  <si>
    <t xml:space="preserve">Pink Gradient Mug</t>
  </si>
  <si>
    <t xml:space="preserve">Graduation (crossing SB, BW)</t>
  </si>
  <si>
    <t xml:space="preserve">Crystal Lamp</t>
  </si>
  <si>
    <t xml:space="preserve">All hướng, concept, focus memorial</t>
  </si>
  <si>
    <t xml:space="preserve">Lounge Pants/Sleeptee</t>
  </si>
  <si>
    <t xml:space="preserve">Funny Pattern, Clipart kiểu chúc mừng</t>
  </si>
  <si>
    <t xml:space="preserve">new teddy bear</t>
  </si>
  <si>
    <t xml:space="preserve">Scale mấy camp bán được trên gấu cũ lên, focus sentimental, memo</t>
  </si>
  <si>
    <t xml:space="preserve">Grad Cap Name Necklace</t>
  </si>
  <si>
    <t xml:space="preserve">All hướng, concept, focus sentimental, memorial</t>
  </si>
  <si>
    <t xml:space="preserve">chờ mockup</t>
  </si>
  <si>
    <t xml:space="preserve">Cuff bracelet</t>
  </si>
  <si>
    <t xml:space="preserve">memorial</t>
  </si>
  <si>
    <t xml:space="preserve">Tassel charm</t>
  </si>
  <si>
    <t xml:space="preserve">Grad Girl Necklace</t>
  </si>
  <si>
    <t xml:space="preserve">shirt with inner neck</t>
  </si>
  <si>
    <t xml:space="preserve">memorial, sentimental, focus memo, thử thêm mấy dạng clipart non human</t>
  </si>
  <si>
    <t xml:space="preserve">kid t-shirt</t>
  </si>
  <si>
    <t xml:space="preserve">Congrats for kid</t>
  </si>
  <si>
    <t xml:space="preserve">Mother's Day
(reaction)
Và Scale các camp đang bán được</t>
  </si>
  <si>
    <t xml:space="preserve">All Line</t>
  </si>
  <si>
    <t xml:space="preserve">All Product</t>
  </si>
  <si>
    <t xml:space="preserve">For mom, grandma, daughter, granddaughter, wife
new concept:word search</t>
  </si>
  <si>
    <t xml:space="preserve">FD (crossing SB)</t>
  </si>
  <si>
    <t xml:space="preserve">Drinkware
Apparel
Accessories</t>
  </si>
  <si>
    <t xml:space="preserve">Whiskey bottle (scale whiskey glass)</t>
  </si>
  <si>
    <t xml:space="preserve">dad/grandpa 3D, có thể kết hợp cờ Mỹ
Thử hết lại các concept clipart win non human
new concept:word search</t>
  </si>
  <si>
    <t xml:space="preserve">Shirt With Inner Neck</t>
  </si>
  <si>
    <t xml:space="preserve">bố mẹ tặng con trai lớn, con trai đã làm bố, to dad, to husband funny, sentimental, fist bump (đưa tất cả camp win to trên shirt lên trc)
Thử hết lại các concept clipart win non human
new concept:word search</t>
  </si>
  <si>
    <t xml:space="preserve">Classic cap</t>
  </si>
  <si>
    <t xml:space="preserve">3D, có thể kết hợp cờ Mỹ, sentimental, bố mẹ tặng con trai lớn, con trai đã làm bố, to dad, to husband
Thử hết lại các concept clipart win non human
new concept:word search</t>
  </si>
  <si>
    <t xml:space="preserve">3D, funny for dad, grandpa có thể kết hợp cờ Mỹ
Thử hết lại các concept clipart win non human
new concept:word search</t>
  </si>
  <si>
    <t xml:space="preserve">Idea Creator</t>
  </si>
  <si>
    <t xml:space="preserve">Idea Created</t>
  </si>
  <si>
    <t xml:space="preserve">                                                                                                         </t>
  </si>
  <si>
    <t xml:space="preserve">Occasions</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</si>
  <si>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</si>
  <si>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</si>
  <si>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</si>
  <si>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</si>
  <si>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</si>
  <si>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</si>
  <si>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</si>
  <si>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</si>
  <si>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r>
      <rPr>
        <b val="true"/>
        <i val="false"/>
        <strike val="false"/>
        <sz val="10"/>
        <color rgb="FF1F2329"/>
      </rPr>
      <t xml:space="preserve">Easter (reaction): </t>
    </r>
    <r>
      <rPr>
        <b val="false"/>
        <i val="false"/>
        <strike val="false"/>
        <sz val="10"/>
        <color rgb="FF1F2329"/>
      </rPr>
      <t xml:space="preserve">bunny, easter basket
Soft ball, base ball (sentimental/hobbies for grandkids), kid apron (hobbies)
</t>
    </r>
    <r>
      <rPr>
        <b val="true"/>
        <i val="false"/>
        <strike val="false"/>
        <sz val="10"/>
        <color rgb="FF1F2329"/>
      </rPr>
      <t>MD:</t>
    </r>
    <r>
      <rPr>
        <b val="false"/>
        <i val="false"/>
        <strike val="false"/>
        <sz val="10"/>
        <color rgb="FF1F2329"/>
      </rPr>
      <t xml:space="preserve"> rose domp lamp, pocket hug, plaque, necklace (grandma, ck tặng vk), apron, sleeptee, handbag (grandma, hobby), 
Shirt with inner neck (test cho cả couple, memorial)
</t>
    </r>
    <r>
      <rPr>
        <b val="true"/>
        <i val="false"/>
        <strike val="false"/>
        <sz val="10"/>
        <color rgb="FF1F2329"/>
      </rPr>
      <t xml:space="preserve">Graduation: </t>
    </r>
    <r>
      <rPr>
        <b val="false"/>
        <i val="false"/>
        <strike val="false"/>
        <sz val="10"/>
        <color rgb="FF1F2329"/>
      </rPr>
      <t xml:space="preserve">necklace, bracelet, teddy bear, plaque, crystal lamp
</t>
    </r>
  </si>
  <si>
    <t xml:space="preserve">Evergreen
(tuần nào cũng phải làm)
(crossing suncatcher và pillow qua BW vs SB)</t>
  </si>
  <si>
    <t xml:space="preserve">
Home Decor
Apparel</t>
  </si>
  <si>
    <t xml:space="preserve">stuffed elephant</t>
  </si>
  <si>
    <t xml:space="preserve">for kid/grandkids chung</t>
  </si>
  <si>
    <t xml:space="preserve">Linh</t>
  </si>
  <si>
    <t xml:space="preserve">Bắt buộc xong trong tuần</t>
  </si>
  <si>
    <t xml:space="preserve">hooded beach blanket</t>
  </si>
  <si>
    <t xml:space="preserve">Thúy</t>
  </si>
  <si>
    <t xml:space="preserve">Onesie/One piece</t>
  </si>
  <si>
    <t xml:space="preserve">Hoa</t>
  </si>
  <si>
    <t xml:space="preserve">Total</t>
  </si>
  <si>
    <t xml:space="preserve">Mother's Day (Crossing SB)
TEST ĐA DẠNG CÁC CONCEPT, FOCUS LUỒNG STORE</t>
  </si>
  <si>
    <t xml:space="preserve">Decor</t>
  </si>
  <si>
    <t xml:space="preserve">Plaque/Wooden Plaque</t>
  </si>
  <si>
    <t xml:space="preserve">(3D - tìm hiệu ứng khác thị trường
Lôi lại hết các clipart từng win mà non human
Scale các hiệu ứng bên mk bán đc</t>
  </si>
  <si>
    <t xml:space="preserve">urgent</t>
  </si>
  <si>
    <t xml:space="preserve">Suncatcher</t>
  </si>
  <si>
    <t xml:space="preserve">Scale Camp rùa (bà cháu - clipart non human 3D) (scale đa dạng cả sp, lẫn hiệu ứng và concept, lục lại các non human clipart khác để lm)</t>
  </si>
  <si>
    <t xml:space="preserve">Ngân</t>
  </si>
  <si>
    <t xml:space="preserve">mẹ con-clipart non human 3D (clipart non human 3D) giống camp rùa mà lm hình tượng trẻ hơn cho mẹ con</t>
  </si>
  <si>
    <t xml:space="preserve">Bà cháu - clipart human 3D (vẫn để chọn đc option già/trẻ nhưng chạy già)</t>
  </si>
  <si>
    <t xml:space="preserve">Huyền</t>
  </si>
  <si>
    <t xml:space="preserve">Mẹ con - clipart human 3D (vẫn để chọn đc option già/trẻ nhưng chạy trẻ)</t>
  </si>
  <si>
    <t xml:space="preserve">TOTAL</t>
  </si>
  <si>
    <t xml:space="preserve">Apparel</t>
  </si>
  <si>
    <t xml:space="preserve">V-neck shirt with inner neck</t>
  </si>
  <si>
    <t xml:space="preserve">Memorial (con tưởng nhớ mẹ)
Mẹ tặng con gái lớn, cháu gái- focus sentimental
In cả 2 phía, in màu</t>
  </si>
  <si>
    <t xml:space="preserve">                                                                                                                                            </t>
  </si>
  <si>
    <t xml:space="preserve">Shawl Wrap</t>
  </si>
  <si>
    <t xml:space="preserve">Grandma/Mom</t>
  </si>
  <si>
    <t xml:space="preserve">T-shirt</t>
  </si>
  <si>
    <t xml:space="preserve">Grandma/Mom 3D, word search
Thử hết lại các concept clipart win non human</t>
  </si>
  <si>
    <t xml:space="preserve">PJM set</t>
  </si>
  <si>
    <t xml:space="preserve">Ruffled Apron</t>
  </si>
  <si>
    <t xml:space="preserve">scale</t>
  </si>
  <si>
    <t xml:space="preserve">Accessories</t>
  </si>
  <si>
    <t xml:space="preserve">Cuff Infinity Heart bracelet</t>
  </si>
  <si>
    <t xml:space="preserve">mẹ con, ck tặng vkđa dạng đối tượng nhận: daughter (bố-mẹ tặng con), mom, wife, đa dạng concept, focus senti</t>
  </si>
  <si>
    <t xml:space="preserve">Heart pocket hug</t>
  </si>
  <si>
    <t xml:space="preserve">đa dạng đối tượng nhận: daughter (bố-mẹ tặng con), mom, wife, đa dạng concept, focus senti</t>
  </si>
  <si>
    <t xml:space="preserve">Pocket hug</t>
  </si>
  <si>
    <t xml:space="preserve">3D giả hiệu ứng (mẹ con)</t>
  </si>
  <si>
    <t xml:space="preserve">Mai</t>
  </si>
  <si>
    <t xml:space="preserve">Forever And Always Heart Necklace</t>
  </si>
  <si>
    <t xml:space="preserve">Bích</t>
  </si>
  <si>
    <t xml:space="preserve">Heart Necklace</t>
  </si>
  <si>
    <t xml:space="preserve">đa dạng đối tượng nhận: daughter (bố-mẹ tặng con), mom, wife, 3D giả hiệu ứng, senti</t>
  </si>
  <si>
    <t xml:space="preserve">Aesthetic Jewelry dish</t>
  </si>
  <si>
    <t xml:space="preserve">For Mom, Daughter, Grandma (3D, clipart non human, senti quote ngắn)</t>
  </si>
  <si>
    <t xml:space="preserve">chờ sp</t>
  </si>
  <si>
    <t xml:space="preserve">.</t>
  </si>
  <si>
    <t xml:space="preserve">Drinkware</t>
  </si>
  <si>
    <t xml:space="preserve">Tumbler</t>
  </si>
  <si>
    <t xml:space="preserve">grandma mom (3D tập trung hiệu ứng mới), Mẹ tặng con gái, cháu gái lớn (3D + sentimental-focus)
Thử hết lại các concept clipart win non human
new concept: word search</t>
  </si>
  <si>
    <t xml:space="preserve">Mug/Accent Mug</t>
  </si>
  <si>
    <t xml:space="preserve">Graduation (crossing SB, BW)</t>
  </si>
  <si>
    <t xml:space="preserve">Shirt with inner neck/Shirt with inner neck and front</t>
  </si>
  <si>
    <t xml:space="preserve">All hướng, concept, focus memorial, senti</t>
  </si>
  <si>
    <t xml:space="preserve">Grad Cap Name Necklace</t>
  </si>
  <si>
    <t xml:space="preserve">All hướng, concept, focus sentimental, memorial</t>
  </si>
  <si>
    <t xml:space="preserve">Braided Leather bracelet</t>
  </si>
  <si>
    <t xml:space="preserve">Grad Girl Necklace</t>
  </si>
  <si>
    <t xml:space="preserve">Trang</t>
  </si>
  <si>
    <t xml:space="preserve">Mother's Day
(reaction)
Và Scale các camp đang bán được</t>
  </si>
  <si>
    <t xml:space="preserve">All Line</t>
  </si>
  <si>
    <t xml:space="preserve">All Product</t>
  </si>
  <si>
    <t xml:space="preserve">For mom, grandma, daughter, granddaughter, wife
new concept:word search</t>
  </si>
  <si>
    <t xml:space="preserve">Idea Creator</t>
  </si>
  <si>
    <t xml:space="preserve">Idea Created</t>
  </si>
  <si>
    <t xml:space="preserve">                                                                                                         </t>
  </si>
  <si>
    <t xml:space="preserve"> </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</si>
  <si>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</si>
  <si>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</si>
  <si>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</si>
  <si>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</si>
  <si>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</si>
  <si>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</si>
  <si>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</si>
  <si>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</si>
  <si>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Evergreen
(tuần nào cũng phải làm)
(crossing suncatcher và pillow qua BW vs SB)</t>
  </si>
  <si>
    <t xml:space="preserve">
Home Decor
Apparel</t>
  </si>
  <si>
    <t xml:space="preserve">stuffed elephant</t>
  </si>
  <si>
    <t xml:space="preserve">for kid/grandkids chung</t>
  </si>
  <si>
    <t xml:space="preserve">Bích</t>
  </si>
  <si>
    <t xml:space="preserve">Bắt buộc xong trong tuần</t>
  </si>
  <si>
    <t xml:space="preserve">hooded beach blanket</t>
  </si>
  <si>
    <t xml:space="preserve">Huyền</t>
  </si>
  <si>
    <t xml:space="preserve">Sippy cup</t>
  </si>
  <si>
    <t xml:space="preserve">Thúy</t>
  </si>
  <si>
    <t xml:space="preserve">Total</t>
  </si>
  <si>
    <t xml:space="preserve">Mother's Day (Crossing SB)
TEST ĐA DẠNG CÁC CONCEPT, FOCUS LUỒNG STORE</t>
  </si>
  <si>
    <t xml:space="preserve">Decor</t>
  </si>
  <si>
    <t xml:space="preserve">Plaque/Wooden Plaque</t>
  </si>
  <si>
    <t xml:space="preserve">(3D trend như metal, crystal, wooden, diamond, tìm hiệu ứng khác thị trường
Lôi lại hết các clipart từng win mà non human</t>
  </si>
  <si>
    <t xml:space="preserve">Hoa</t>
  </si>
  <si>
    <t xml:space="preserve">urgent</t>
  </si>
  <si>
    <t xml:space="preserve">hobby-sewing, baking for mom</t>
  </si>
  <si>
    <t xml:space="preserve">Baseball/Softball, Football mom</t>
  </si>
  <si>
    <t xml:space="preserve">Ngân</t>
  </si>
  <si>
    <t xml:space="preserve">Suncatcher</t>
  </si>
  <si>
    <t xml:space="preserve">mở rộng các concept cho MD grandma, mẹ con như: ở xa, word search, puzzle, hoa</t>
  </si>
  <si>
    <t xml:space="preserve">mở rộng các niche: bestie, test đa dạng concept)</t>
  </si>
  <si>
    <t xml:space="preserve">mở rộng các niche: family, test đa dạng concept</t>
  </si>
  <si>
    <t xml:space="preserve">mở rộng các niche: couple, test đa dạng concept</t>
  </si>
  <si>
    <t xml:space="preserve">mở rộng các niche: memorial, test đa dạng concept</t>
  </si>
  <si>
    <t xml:space="preserve">mở rộng các niche: baking, sewing test đa dạng concept (crossing BW)</t>
  </si>
  <si>
    <t xml:space="preserve">Ribbon ceramic flower vase</t>
  </si>
  <si>
    <t xml:space="preserve">80% con tặng mẹ, cháu tặng bà, 20% mẹ tặng con gái lớn, test đa dạng concept (cả 3D, senti, clipart...)</t>
  </si>
  <si>
    <t xml:space="preserve">TOTAL</t>
  </si>
  <si>
    <t xml:space="preserve">Apparel</t>
  </si>
  <si>
    <t xml:space="preserve">V-neck shirt with inner neck</t>
  </si>
  <si>
    <t xml:space="preserve">con dâu tặng mẹ ck</t>
  </si>
  <si>
    <t xml:space="preserve">Phương</t>
  </si>
  <si>
    <t xml:space="preserve">                                                                                                                                            </t>
  </si>
  <si>
    <t xml:space="preserve">Shawl Wrap</t>
  </si>
  <si>
    <t xml:space="preserve">for mom, grandma, thử thêm seamless pattern, hoa cố gắng triển khai các idea nhìn rõ ds hơn, scale các camp bán đc từ maxi</t>
  </si>
  <si>
    <t xml:space="preserve">PJM set</t>
  </si>
  <si>
    <t xml:space="preserve">Ruffled Apron</t>
  </si>
  <si>
    <t xml:space="preserve">for mom, grandma, thử thêm seamless pattern, hoa cố gắng triển khai các idea nhìn rõ ds hơn, scale các camp bán đc từ maxi, baking (ít)</t>
  </si>
  <si>
    <t xml:space="preserve">Accessories</t>
  </si>
  <si>
    <t xml:space="preserve">Cuff Infinity Heart bracelet</t>
  </si>
  <si>
    <t xml:space="preserve">50% con tặng mẹ, 40% mẹ tặng con gái lớn, con gái đã lm mẹ, 10% ck tặng vk</t>
  </si>
  <si>
    <t xml:space="preserve">Heart pocket hug</t>
  </si>
  <si>
    <t xml:space="preserve">60% con tặng mẹ, 40% mẹ tặng con gái lớn, con gái đã lm mẹ, 3D + sentimental</t>
  </si>
  <si>
    <t xml:space="preserve">Pocket hug</t>
  </si>
  <si>
    <t xml:space="preserve">Forever And Always Heart Necklace</t>
  </si>
  <si>
    <t xml:space="preserve">con tặng mẹ</t>
  </si>
  <si>
    <t xml:space="preserve">Heart Necklace</t>
  </si>
  <si>
    <t xml:space="preserve">60% con tặng mẹ, 40% mẹ tặng con gái lớn, con gái đã lm mẹ, 3D, sentimental</t>
  </si>
  <si>
    <t xml:space="preserve">Aesthetic Jewelry dish</t>
  </si>
  <si>
    <t xml:space="preserve">60% con tặng mẹ, 40% mẹ tặng con gái lớn, con gái đã lm mẹ (3D, clipart non human, senti quote ngắn)</t>
  </si>
  <si>
    <t xml:space="preserve">.</t>
  </si>
  <si>
    <t xml:space="preserve">Envelop Wallet</t>
  </si>
  <si>
    <t xml:space="preserve">60% con tặng mẹ, 40% mẹ tặng con gái lớn, con gái đã lm mẹ, check các idea X đã test, 1-2 idea to my wife</t>
  </si>
  <si>
    <t xml:space="preserve">Leather Wine Bag </t>
  </si>
  <si>
    <t xml:space="preserve">50% sister/bestie</t>
  </si>
  <si>
    <t xml:space="preserve">20% mẹ con, grandma clipart human, non human (crossing SB), 10% hobby drinking (crossing BW, SB)</t>
  </si>
  <si>
    <t xml:space="preserve">Drinkware</t>
  </si>
  <si>
    <t xml:space="preserve">Tumbler</t>
  </si>
  <si>
    <t xml:space="preserve">60% con tặng mẹ, for mom/grandma, hobby (sewing, baking)
khai thác các concept đã win mà non human + 3D (xà cừ, đá quý, metal), word search, puzzle, 3D + sentimental</t>
  </si>
  <si>
    <t xml:space="preserve">40% mẹ tặng con gái lớn, con gái đã lm mẹ, khai thác các concept đã win mà non human + 3D (xà cừ, đá quý, metal), 3D + sentimental</t>
  </si>
  <si>
    <t xml:space="preserve">tặng mother in law (3D + sentimental)</t>
  </si>
  <si>
    <t xml:space="preserve">Mother's Day
(reaction)
Và Scale các camp đang bán được</t>
  </si>
  <si>
    <t xml:space="preserve">All Line</t>
  </si>
  <si>
    <t xml:space="preserve">All Product</t>
  </si>
  <si>
    <t xml:space="preserve">For mom, grandma, daughter, granddaughter, wife
new concept:word search</t>
  </si>
  <si>
    <t xml:space="preserve">Idea Creator</t>
  </si>
  <si>
    <t xml:space="preserve">Idea Created</t>
  </si>
  <si>
    <t xml:space="preserve"> </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</si>
  <si>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</si>
  <si>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</si>
  <si>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</si>
  <si>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</si>
  <si>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</si>
  <si>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</si>
  <si>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</si>
  <si>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</si>
  <si>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Evergreen
(tuần nào cũng phải làm)
(crossing suncatcher và pillow qua BW vs SB)</t>
  </si>
  <si>
    <t xml:space="preserve">
Home Decor
Apparel</t>
  </si>
  <si>
    <t xml:space="preserve">Bắt buộc xong trong tuần</t>
  </si>
  <si>
    <t xml:space="preserve">hooded beach blanket</t>
  </si>
  <si>
    <t xml:space="preserve">for kid/grandkids chung</t>
  </si>
  <si>
    <t xml:space="preserve">Huyền</t>
  </si>
  <si>
    <t xml:space="preserve">Total</t>
  </si>
  <si>
    <t xml:space="preserve">Mother's Day (Crossing SB)
TEST ĐA DẠNG CÁC CONCEPT, FOCUS LUỒNG STORE</t>
  </si>
  <si>
    <t xml:space="preserve">Decor</t>
  </si>
  <si>
    <t xml:space="preserve">Angel Dome</t>
  </si>
  <si>
    <t xml:space="preserve">Hướng idea: 40% con tặng mẹ, 40% mẹ tặng con gái lớn con gái đã lm mẹ, 20% Memorial loss mom, Couple (crossing FC qua)
Concept: Sentimental, convert ảnh, 3D, clipart non human</t>
  </si>
  <si>
    <t xml:space="preserve">Hoa</t>
  </si>
  <si>
    <t xml:space="preserve">urgent</t>
  </si>
  <si>
    <t xml:space="preserve">Ribbon flower vase</t>
  </si>
  <si>
    <t xml:space="preserve">Hướng idea: 40% con tặng mẹ, 40% mẹ tặng con gái lớn con gái đã lm mẹ, 20% Memorial loss mom, Couple (crossing FC sang)
Concept: Sentimental, convert ảnh, 3D, clipart non human (bổ sung nốt các hướng đang thiếu)</t>
  </si>
  <si>
    <t xml:space="preserve">Bích</t>
  </si>
  <si>
    <t xml:space="preserve">Elephant Puzzle</t>
  </si>
  <si>
    <t xml:space="preserve">Family</t>
  </si>
  <si>
    <t xml:space="preserve">Phương</t>
  </si>
  <si>
    <t xml:space="preserve">Sunflower Dome</t>
  </si>
  <si>
    <t xml:space="preserve">Hướng idea: 50% con tặng mẹ, 40% mẹ tặng con gái lớn, con gái đã lm mẹ, 10% Memorial loss mom, Couple (crossing FC sang)
Concept: Sentimental, convert ảnh, 3D, clipart non human</t>
  </si>
  <si>
    <t xml:space="preserve">Thúy</t>
  </si>
  <si>
    <t xml:space="preserve">TOTAL</t>
  </si>
  <si>
    <t xml:space="preserve">Apparel</t>
  </si>
  <si>
    <t xml:space="preserve">Shirt with inner neck</t>
  </si>
  <si>
    <t xml:space="preserve">Hướng idea: 20% con tặng mẹ, 30% mẹ tặng con gái lớn con gái đã lm mẹ, 50% Memorial loss mom, Couple (crossing FC sang)
Concept: Sentimental, convert ảnh, clipart non human (inner cũng lm đc clipart đơn giản như nắm tay), 3D (T-shirt)</t>
  </si>
  <si>
    <t xml:space="preserve">                                                                                                                                            </t>
  </si>
  <si>
    <t xml:space="preserve">T-shirt</t>
  </si>
  <si>
    <t xml:space="preserve">Hướng idea: 30% con tặng mẹ, 20% mẹ tặng con gái lớn con gái đã lm mẹ, 50% Memorial loss mom
Concept: Sentimental, convert ảnh, clipart non human, 3D (T-shirt)</t>
  </si>
  <si>
    <t xml:space="preserve">Accessories</t>
  </si>
  <si>
    <t xml:space="preserve">Cuff Infinity Heart bracelet</t>
  </si>
  <si>
    <t xml:space="preserve">50% con tặng mẹ, 40% mẹ tặng con gái lớn, con gái đã lm mẹ, 10% ck tặng vk</t>
  </si>
  <si>
    <t xml:space="preserve">Pocket hug</t>
  </si>
  <si>
    <t xml:space="preserve">Hướng idea: 40% con tặng mẹ, 40% mẹ tặng con gái lớn con gái đã lm mẹ, 20% Memorial loss mom, Couple (crossing FC qua)
Concept: convert ảnh, 3D + Senti</t>
  </si>
  <si>
    <t xml:space="preserve">Ngân</t>
  </si>
  <si>
    <t xml:space="preserve">Heart Necklace</t>
  </si>
  <si>
    <t xml:space="preserve">30% con tặng mẹ, 50% mẹ tặng con gái lớn, con gái đã lm mẹ, 20% loss mom, CP (crossing FC qua)
concept: 3D, sentimental, clipart non human</t>
  </si>
  <si>
    <t xml:space="preserve">Forever And Always Heart Necklace</t>
  </si>
  <si>
    <t xml:space="preserve">crossing cp FC qua
</t>
  </si>
  <si>
    <t xml:space="preserve">Ngân, Mai</t>
  </si>
  <si>
    <t xml:space="preserve">Ring Dish</t>
  </si>
  <si>
    <t xml:space="preserve">con tặng mẹ, mẹ tặng con gái lớn, con gái đã lm mẹ, couple-crossing FC sang, bestie
Concept: Sentimental, convert ảnh, 3D, clipart non human</t>
  </si>
  <si>
    <t xml:space="preserve">.</t>
  </si>
  <si>
    <t xml:space="preserve">Envelope Wallet</t>
  </si>
  <si>
    <t xml:space="preserve">con tặng mẹ, mẹ tặng con gái lớn con gái đã lm mẹ, Memorial loss mom, Couple (crossing FC sang), sister/bestie
Concept: Sentimental, clipart non human đơn giản như mẹ nắm tay-xem thiếu hướng nào thì làm bổ sung)</t>
  </si>
  <si>
    <t xml:space="preserve">Drinkware</t>
  </si>
  <si>
    <t xml:space="preserve">Tumbler</t>
  </si>
  <si>
    <t xml:space="preserve">Hướng idea: 40% con tặng mẹ, 40% mẹ tặng con gái lớn con gái đã lm mẹ, 10% Couple, 10% hobby (baking, sewing)
Concept: Sentimental, convert ảnh, clipart non human, 3D</t>
  </si>
  <si>
    <t xml:space="preserve">
tặng mother in law (3D + sentimental)</t>
  </si>
  <si>
    <t xml:space="preserve">3D Floral Tea Cup</t>
  </si>
  <si>
    <t xml:space="preserve">Hướng idea: 50% con tặng mẹ, 40% mẹ tặng con gái lớn con gái đã lm mẹ, 10% Couple
Concept: Sentimental, convert ảnh, clipart non human, 3D</t>
  </si>
  <si>
    <t xml:space="preserve">Mother's Day
(reaction)
Và Scale các camp đang bán được</t>
  </si>
  <si>
    <t xml:space="preserve">All Line</t>
  </si>
  <si>
    <t xml:space="preserve">All Product</t>
  </si>
  <si>
    <t xml:space="preserve">Hướng idea: con tặng mẹ, mẹ tặng con gái lớn con gái đã lm mẹ, Memorial loss mom, Couple
Concept: Sentimental, convert ảnh, 3D, clipart non human</t>
  </si>
  <si>
    <t xml:space="preserve">Idea Creator</t>
  </si>
  <si>
    <t xml:space="preserve">Idea Created</t>
  </si>
  <si>
    <t xml:space="preserve">Linh</t>
  </si>
  <si>
    <t xml:space="preserve">Tùng</t>
  </si>
  <si>
    <t xml:space="preserve">Bích </t>
  </si>
  <si>
    <t xml:space="preserve">Trang</t>
  </si>
  <si>
    <t xml:space="preserve">Mai</t>
  </si>
  <si>
    <t xml:space="preserve">Thúy</t>
  </si>
  <si>
    <t xml:space="preserve">JS</t>
  </si>
  <si>
    <t xml:space="preserve">FC</t>
  </si>
  <si>
    <t xml:space="preserve"> </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</si>
  <si>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</si>
  <si>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</si>
  <si>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</si>
  <si>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</si>
  <si>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</si>
  <si>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</si>
  <si>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</si>
  <si>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</si>
  <si>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Evergreen
(tuần nào cũng phải làm)
(crossing suncatcher BW và SB)</t>
  </si>
  <si>
    <t xml:space="preserve">
Home Decor
Apparel</t>
  </si>
  <si>
    <t xml:space="preserve">Beach Towel</t>
  </si>
  <si>
    <t xml:space="preserve">For grandkids evergreen, summer</t>
  </si>
  <si>
    <t xml:space="preserve">Bích</t>
  </si>
  <si>
    <t xml:space="preserve">Bắt buộc xong trong tuần</t>
  </si>
  <si>
    <t xml:space="preserve">hooded beach blanket</t>
  </si>
  <si>
    <t xml:space="preserve">Suncatcher</t>
  </si>
  <si>
    <t xml:space="preserve">Thúy</t>
  </si>
  <si>
    <t xml:space="preserve">Onesie</t>
  </si>
  <si>
    <t xml:space="preserve">Phương</t>
  </si>
  <si>
    <t xml:space="preserve">Total</t>
  </si>
  <si>
    <t xml:space="preserve">Father's Day (Crossing SB)</t>
  </si>
  <si>
    <t xml:space="preserve">Decor</t>
  </si>
  <si>
    <t xml:space="preserve">Plaque/plaque with hanging charm (sp ms, đã có mockup, 1 charm)</t>
  </si>
  <si>
    <t xml:space="preserve">Hướng idea: 1st Dad, 1st FD as Family
For Dad/grandpa general (70%) 
Hobby (sport, fishing, golf) (30%)
Concept: Focus 3D, clipart non human 3D</t>
  </si>
  <si>
    <t xml:space="preserve">Ngân</t>
  </si>
  <si>
    <t xml:space="preserve">Hướng idea
For Dad/grandpa general (70%) 
Hobby (sport, fishing, golf) (30%)
Concept: Focus 3D, clipart non human 3D</t>
  </si>
  <si>
    <t xml:space="preserve">TOTAL</t>
  </si>
  <si>
    <t xml:space="preserve">Apparel</t>
  </si>
  <si>
    <t xml:space="preserve">Shirt with inner neck</t>
  </si>
  <si>
    <t xml:space="preserve">To Dad/Grandpa (2), To Husband (1), To Son (2) 
concept: focus senti, clipart non human</t>
  </si>
  <si>
    <t xml:space="preserve">Hoa</t>
  </si>
  <si>
    <t xml:space="preserve">                                                                                                                                            </t>
  </si>
  <si>
    <t xml:space="preserve">T-shirt</t>
  </si>
  <si>
    <t xml:space="preserve">For Dad/grandpa general (70%) 
Hobby (sport, fishing, golf) (30%)
Concept: Sentimental, convert ảnh, clipart non human 3D, 3D + cờ Mỹ
Focus sentimental, clipart non human 3D</t>
  </si>
  <si>
    <t xml:space="preserve">1st Dad/Grandpa/1st FD as family</t>
  </si>
  <si>
    <t xml:space="preserve">Hawaiin Shirt</t>
  </si>
  <si>
    <t xml:space="preserve">For Dad/grandpa general (70%) 
Hobby (sport, fishing, golf) (30%)
Concept: convert ảnh, clipart non human 3D, 3D + cờ Mỹ</t>
  </si>
  <si>
    <t xml:space="preserve">Lounge Pants</t>
  </si>
  <si>
    <t xml:space="preserve">Polo</t>
  </si>
  <si>
    <t xml:space="preserve">Accessories</t>
  </si>
  <si>
    <t xml:space="preserve">Classic Cap</t>
  </si>
  <si>
    <t xml:space="preserve">Pocket hug</t>
  </si>
  <si>
    <t xml:space="preserve">To Dad/Grandpa, To Husband, To Son 
concept: focus senti, clipart non human 3D</t>
  </si>
  <si>
    <t xml:space="preserve">Mai</t>
  </si>
  <si>
    <t xml:space="preserve">Mai: 1
Ngân : 1
Hoa: 1</t>
  </si>
  <si>
    <t xml:space="preserve">Can cooler</t>
  </si>
  <si>
    <t xml:space="preserve">Wooden Spirit Level Bottle Opener</t>
  </si>
  <si>
    <t xml:space="preserve">For Dad/grandpa general (70%) 
Hobby (sport, fishing, golf) (30%)
Concept: convert ảnh, clipart non human 3D, 3D + cờ Mỹ
</t>
  </si>
  <si>
    <t xml:space="preserve">Measure Tape</t>
  </si>
  <si>
    <t xml:space="preserve">.</t>
  </si>
  <si>
    <t xml:space="preserve">Hammer</t>
  </si>
  <si>
    <t xml:space="preserve">For Dad/grandpa general, to husband, to son (80%) 
Hobby (20%)
focus quote và hướng khai thác idea</t>
  </si>
  <si>
    <t xml:space="preserve">Leather Opener (sp mới)</t>
  </si>
  <si>
    <t xml:space="preserve">high</t>
  </si>
  <si>
    <t xml:space="preserve">Wrist Watch (sp mới)</t>
  </si>
  <si>
    <t xml:space="preserve">high/urgent tùy tình hình</t>
  </si>
  <si>
    <t xml:space="preserve">Leather Slim Wallet
(sp mới)</t>
  </si>
  <si>
    <t xml:space="preserve">Drinkware</t>
  </si>
  <si>
    <t xml:space="preserve">Tumbler</t>
  </si>
  <si>
    <t xml:space="preserve">Mug</t>
  </si>
  <si>
    <t xml:space="preserve">
For Dad/grandpa general (70%) 
Hobby (sport, fishing, golf) (30%)
Concept: convert ảnh, clipart non human 3D, 3D + cờ Mỹ</t>
  </si>
  <si>
    <t xml:space="preserve">Whiskey Bottle
vẫn còn slot cho reaction nên có thể lm trên 5 cái</t>
  </si>
  <si>
    <t xml:space="preserve">For Dad/grandpa general, couple funny (70%) 
Hobby (sport, fishing, golf) (30%)
Concept: convert ảnh, clipart non human 3D, 3D + cờ Mỹ</t>
  </si>
  <si>
    <t xml:space="preserve">Whiskey Glass
vẫn còn slot cho reaction nên có thể lm trên 5 cái</t>
  </si>
  <si>
    <t xml:space="preserve">Beer Glass</t>
  </si>
  <si>
    <t xml:space="preserve">MD (reaction)</t>
  </si>
  <si>
    <t xml:space="preserve">SP US</t>
  </si>
  <si>
    <t xml:space="preserve">ceramic coffee Mug, 2D unisex T-shirt ,Plaque, Suncatcher, Pocket Hug,
Square Ring Dish
(Focus Mug, Shirt)</t>
  </si>
  <si>
    <t xml:space="preserve">-Scale các camp bán được lên các sp US
-Theo dõi các hướng đối thủ (wrapp, Paw, MC) đang win trên các sp mới để scale về SP US
-Theo dõi sát sao thị trường, đối thủ sàn etsy, để clone nhanh những idea tiềm năng/có dấu hiệu</t>
  </si>
  <si>
    <t xml:space="preserve">urgent</t>
  </si>
  <si>
    <t xml:space="preserve">Mai: lên 1 Ring dish couple lên tuần trước</t>
  </si>
  <si>
    <t xml:space="preserve">
FD Reaction</t>
  </si>
  <si>
    <t xml:space="preserve">All Line</t>
  </si>
  <si>
    <t xml:space="preserve">All Product</t>
  </si>
  <si>
    <t xml:space="preserve">Các camp có dấu hiệu trên ttrg</t>
  </si>
  <si>
    <t xml:space="preserve">Idea Creator</t>
  </si>
  <si>
    <t xml:space="preserve">Idea Created</t>
  </si>
  <si>
    <t xml:space="preserve">Huyền</t>
  </si>
  <si>
    <t xml:space="preserve">Linh</t>
  </si>
  <si>
    <t xml:space="preserve">Tùng</t>
  </si>
  <si>
    <t xml:space="preserve">Bích </t>
  </si>
  <si>
    <t xml:space="preserve">Trang</t>
  </si>
  <si>
    <t xml:space="preserve">Thúy</t>
  </si>
  <si>
    <t xml:space="preserve">Phuong</t>
  </si>
  <si>
    <t xml:space="preserve">JS</t>
  </si>
  <si>
    <t xml:space="preserve">FC</t>
  </si>
  <si>
    <t xml:space="preserve">SB</t>
  </si>
  <si>
    <t xml:space="preserve">BW</t>
  </si>
  <si>
    <t xml:space="preserve">JM</t>
  </si>
  <si>
    <t xml:space="preserve"> </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</si>
  <si>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</si>
  <si>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</si>
  <si>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</si>
  <si>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</si>
  <si>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</si>
  <si>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</si>
  <si>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</si>
  <si>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</si>
  <si>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Evergreen
(tuần nào cũng phải làm)
(crossing suncatcher BW và SB)</t>
  </si>
  <si>
    <t xml:space="preserve">
Home Decor
Apparel</t>
  </si>
  <si>
    <t xml:space="preserve">Beach Towel/hooded beach Towel</t>
  </si>
  <si>
    <t xml:space="preserve">For grandkids evergreen, summer</t>
  </si>
  <si>
    <t xml:space="preserve">Hoa</t>
  </si>
  <si>
    <t xml:space="preserve">Bắt buộc xong trong tuần</t>
  </si>
  <si>
    <t xml:space="preserve">Kid T-shirt</t>
  </si>
  <si>
    <t xml:space="preserve">Phương</t>
  </si>
  <si>
    <t xml:space="preserve">Suncatcher</t>
  </si>
  <si>
    <t xml:space="preserve">Thúy</t>
  </si>
  <si>
    <t xml:space="preserve">Pillow</t>
  </si>
  <si>
    <t xml:space="preserve">Thúy</t>
  </si>
  <si>
    <t xml:space="preserve">Total</t>
  </si>
  <si>
    <t xml:space="preserve">Father's Day (Crossing SB)</t>
  </si>
  <si>
    <t xml:space="preserve">Decor</t>
  </si>
  <si>
    <t xml:space="preserve">Plaque/plaque with hanging charm (sp ms, đã có mockup, 1 charm)</t>
  </si>
  <si>
    <t xml:space="preserve">for dad/grandpa general (2)
hobbies/jobs: 3D, clipart non human (2)</t>
  </si>
  <si>
    <t xml:space="preserve">Metal Sign (sp ms)</t>
  </si>
  <si>
    <t xml:space="preserve">hobbies/jobs: 3D (garage/car/biker)</t>
  </si>
  <si>
    <t xml:space="preserve">Ngân</t>
  </si>
  <si>
    <t xml:space="preserve">chờ mockup</t>
  </si>
  <si>
    <t xml:space="preserve">Acrylic Plaque Night Light</t>
  </si>
  <si>
    <t xml:space="preserve">For dad/grandpa general: 3D, clipart non human</t>
  </si>
  <si>
    <t xml:space="preserve">TOTAL</t>
  </si>
  <si>
    <t xml:space="preserve">Apparel</t>
  </si>
  <si>
    <t xml:space="preserve">Shirt with inner neck</t>
  </si>
  <si>
    <t xml:space="preserve">To dad/son/grandson/husband (senti)</t>
  </si>
  <si>
    <t xml:space="preserve">                                                                                                                                            </t>
  </si>
  <si>
    <t xml:space="preserve">Polo</t>
  </si>
  <si>
    <t xml:space="preserve">hobby/jobs: golf-clipart non human, seamless (2)
for dad/grandpa general: clipart non human, seamless pattern (2)</t>
  </si>
  <si>
    <t xml:space="preserve">Hawaiin Shirt</t>
  </si>
  <si>
    <t xml:space="preserve">hobby/jobs: golf, fishing-3D, clipart non human (2) 
for dad/grandpa general: clipart non human, seamless pattern, cờ Mỹ (2)</t>
  </si>
  <si>
    <t xml:space="preserve">Ngân làm 1 áo goft</t>
  </si>
  <si>
    <t xml:space="preserve">Beach Shorts</t>
  </si>
  <si>
    <t xml:space="preserve">For dad/grandpa general: clipart non human, seamless pattern (2)
to husband: funny, seamless pattern (2)</t>
  </si>
  <si>
    <t xml:space="preserve">3 family + 1 couple </t>
  </si>
  <si>
    <t xml:space="preserve">Accessories</t>
  </si>
  <si>
    <t xml:space="preserve">Cowhide Belt</t>
  </si>
  <si>
    <t xml:space="preserve">to husband: funny, bậy non clipart (2)</t>
  </si>
  <si>
    <t xml:space="preserve">Leather Flip Phonecase</t>
  </si>
  <si>
    <t xml:space="preserve">for dad/grandpa general: clipart non human, typo, cờ mỹ (3)</t>
  </si>
  <si>
    <t xml:space="preserve">Mai: 1
Ngân : 1
Hoa: 1</t>
  </si>
  <si>
    <t xml:space="preserve">Pocket Watch</t>
  </si>
  <si>
    <t xml:space="preserve">for dad/grandpa general: clipart non human, typo (2)
To son/grandson/dad: senti (2)</t>
  </si>
  <si>
    <t xml:space="preserve">Aluminum Wallet Card</t>
  </si>
  <si>
    <t xml:space="preserve">1st dad
to husband: funny, bậy non clipart, clipart non human (2)</t>
  </si>
  <si>
    <t xml:space="preserve">Vintage Washed Denim Cap</t>
  </si>
  <si>
    <t xml:space="preserve">for dad/grandpa general: clipart non human, typo (3)</t>
  </si>
  <si>
    <t xml:space="preserve">.</t>
  </si>
  <si>
    <t xml:space="preserve">Grilling plate</t>
  </si>
  <si>
    <t xml:space="preserve">hobby/jobs: 3D, clipart non human (2)</t>
  </si>
  <si>
    <t xml:space="preserve">chờ listing sp (giá chưa oke)</t>
  </si>
  <si>
    <t xml:space="preserve">Leather Opener Keychain (sp mới)</t>
  </si>
  <si>
    <t xml:space="preserve">Golf Balls</t>
  </si>
  <si>
    <t xml:space="preserve">hobby/jobs: 3D, up ảnh, convert ảnh (2)</t>
  </si>
  <si>
    <t xml:space="preserve">high/urgent tùy tình hình</t>
  </si>
  <si>
    <t xml:space="preserve">Men's Cuban Link Chain</t>
  </si>
  <si>
    <t xml:space="preserve">To dad/son/grandson/husband (senti) (2)</t>
  </si>
  <si>
    <t xml:space="preserve">Car Sunshade</t>
  </si>
  <si>
    <t xml:space="preserve">hobby/jobs: 3D, clipart non human (2)
camping, 250th</t>
  </si>
  <si>
    <t xml:space="preserve">Compass</t>
  </si>
  <si>
    <t xml:space="preserve">mouse pad
(sp mới)</t>
  </si>
  <si>
    <t xml:space="preserve">to husband: funny, bậy (2) </t>
  </si>
  <si>
    <t xml:space="preserve">Leather Cable Bag
(sp mới)</t>
  </si>
  <si>
    <t xml:space="preserve">chờ sửa mockup nên chưa done ds</t>
  </si>
  <si>
    <t xml:space="preserve">Leather Watch Case
(sp mới)</t>
  </si>
  <si>
    <t xml:space="preserve">Leather Tape Measure
(sp mới)</t>
  </si>
  <si>
    <t xml:space="preserve">Vintage Soft Baseball Cap
(sp mới)</t>
  </si>
  <si>
    <t xml:space="preserve">Drinkware</t>
  </si>
  <si>
    <t xml:space="preserve">20oz Leather Wrapped Tumbler</t>
  </si>
  <si>
    <t xml:space="preserve">for dad/grandpa general: clipart non human, typo, clipart human (ít) (3)</t>
  </si>
  <si>
    <t xml:space="preserve">1 human</t>
  </si>
  <si>
    <t xml:space="preserve">Round Whiskey Glass</t>
  </si>
  <si>
    <t xml:space="preserve">
for dad/grandpa general: clipart non human, typo, clipart human (ít) (2)
to husband: funny, bậy non clipart, clipart non human, clipart human, senti (2)</t>
  </si>
  <si>
    <t xml:space="preserve">Whiskey Bottle</t>
  </si>
  <si>
    <t xml:space="preserve">for dad/grandpa general: clipart non human, typo, clipart human (ít) (2)
to husband: funny, bậy non clipart, clipart non human, clipart human (2)
hobby/jobs: 3D, clipart non human (2)</t>
  </si>
  <si>
    <t xml:space="preserve">2 human</t>
  </si>
  <si>
    <t xml:space="preserve">Engraved Whiskey Glass</t>
  </si>
  <si>
    <t xml:space="preserve">to husband: funny, bậy non clipart, clipart non human (2)</t>
  </si>
  <si>
    <t xml:space="preserve">Beer Glass</t>
  </si>
  <si>
    <t xml:space="preserve">Reaction</t>
  </si>
  <si>
    <t xml:space="preserve">All line</t>
  </si>
  <si>
    <t xml:space="preserve">Ceramic coffee Mug, T-shirt, AOP T-shirt, plaque, pocket hug, tumbler</t>
  </si>
  <si>
    <t xml:space="preserve">For dad/grandpa general
For son/grandson, senti
For husband: funny, bậy
hobby/jobs
Memorial: loss husband, loss dad
1st dad/grandpa, 1st FD as family</t>
  </si>
  <si>
    <t xml:space="preserve">urgent</t>
  </si>
  <si>
    <t xml:space="preserve">Mai: lên 1 Ring dish couple lên tuần trước</t>
  </si>
  <si>
    <t xml:space="preserve">
FD Reaction</t>
  </si>
  <si>
    <t xml:space="preserve">All Line</t>
  </si>
  <si>
    <t xml:space="preserve">All Product</t>
  </si>
  <si>
    <t xml:space="preserve">Các camp có dấu hiệu trên ttrg</t>
  </si>
  <si>
    <t xml:space="preserve">Idea Creator</t>
  </si>
  <si>
    <t xml:space="preserve">Idea Created</t>
  </si>
  <si>
    <t xml:space="preserve">Huyền</t>
  </si>
  <si>
    <t xml:space="preserve">Linh</t>
  </si>
  <si>
    <t xml:space="preserve">Tùng</t>
  </si>
  <si>
    <t xml:space="preserve">Bích </t>
  </si>
  <si>
    <t xml:space="preserve">Trang</t>
  </si>
  <si>
    <t xml:space="preserve">Mai</t>
  </si>
  <si>
    <t xml:space="preserve">Phuong</t>
  </si>
  <si>
    <t xml:space="preserve">JS</t>
  </si>
  <si>
    <t xml:space="preserve">FC</t>
  </si>
  <si>
    <t xml:space="preserve">Bích</t>
  </si>
  <si>
    <t xml:space="preserve">SB</t>
  </si>
  <si>
    <t xml:space="preserve">BW</t>
  </si>
  <si>
    <t xml:space="preserve">JM</t>
  </si>
  <si>
    <t xml:space="preserve"> </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</si>
  <si>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</si>
  <si>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</si>
  <si>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</si>
  <si>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</si>
  <si>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</si>
  <si>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</si>
  <si>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</si>
  <si>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</si>
  <si>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Evergreen
(tuần nào cũng phải làm)
(crossing suncatcher BW và SB)</t>
  </si>
  <si>
    <t xml:space="preserve">
Home Decor
Apparel</t>
  </si>
  <si>
    <t xml:space="preserve">Hooded beach Towel</t>
  </si>
  <si>
    <t xml:space="preserve">For grandkids evergreen, summer</t>
  </si>
  <si>
    <t xml:space="preserve">Huyền</t>
  </si>
  <si>
    <t xml:space="preserve">Bắt buộc xong trong tuần</t>
  </si>
  <si>
    <t xml:space="preserve">Kid T-shirt</t>
  </si>
  <si>
    <t xml:space="preserve">Hoa</t>
  </si>
  <si>
    <t xml:space="preserve">One-piece swimsuit</t>
  </si>
  <si>
    <t xml:space="preserve">Kid classic cap</t>
  </si>
  <si>
    <t xml:space="preserve">Total</t>
  </si>
  <si>
    <t xml:space="preserve">Father's Day (Crossing SB)</t>
  </si>
  <si>
    <t xml:space="preserve">Decor</t>
  </si>
  <si>
    <t xml:space="preserve">metal sign/custom shaped metal sign</t>
  </si>
  <si>
    <t xml:space="preserve">hobby/jobs: 3D, clipart non human:
ưu tiên các niche rõ demand: Fishing, garage, camping</t>
  </si>
  <si>
    <t xml:space="preserve">Ngân</t>
  </si>
  <si>
    <t xml:space="preserve">Plaque/wooden plaque</t>
  </si>
  <si>
    <t xml:space="preserve">hobby/jobs: 3D, clipart non human:
ưu tiên các niche rõ demand: Golf, Fishing, garage, amping, sport (baseball, oftball, football) test thêm hobby mới: game guitar
follow Trending Custom, lưu ý react các dạng willow tree</t>
  </si>
  <si>
    <t xml:space="preserve">Thúy</t>
  </si>
  <si>
    <t xml:space="preserve">Crystal lamp</t>
  </si>
  <si>
    <t xml:space="preserve">Memorial Loss Dad Husband: senti, upload photo</t>
  </si>
  <si>
    <t xml:space="preserve">Phương</t>
  </si>
  <si>
    <t xml:space="preserve">TOTAL</t>
  </si>
  <si>
    <t xml:space="preserve">Apparel</t>
  </si>
  <si>
    <t xml:space="preserve">T-shirt</t>
  </si>
  <si>
    <t xml:space="preserve">For Dad/grandpa general: clipart non human, typo, convert ảnh (ít)
lưu ý: fist bump, cờ Mỹ, handprints, các con vật (3)
hobby/jobs: 3D, clipart non human:
ưu tiên các niche rõ demand: Golf, Fishing, garage, camping, sport (baseball, oftball, football) test thêm hobby mới: game guitar (2)
Memorial Loss Dad Husband: 3D senti (2)</t>
  </si>
  <si>
    <t xml:space="preserve">                                                                                                                                            </t>
  </si>
  <si>
    <t xml:space="preserve">Shirt with inner neck</t>
  </si>
  <si>
    <t xml:space="preserve">To son, grandson, dad, husband: sentimental (3)
Memorial Loss Dad Husband: senti (2)</t>
  </si>
  <si>
    <t xml:space="preserve">Hoa 2 cái (done 9)</t>
  </si>
  <si>
    <t xml:space="preserve">Polo with inner neck</t>
  </si>
  <si>
    <t xml:space="preserve">To son, grandson, dad, husband: sentimental</t>
  </si>
  <si>
    <t xml:space="preserve">hoa 1 cái: done</t>
  </si>
  <si>
    <t xml:space="preserve">Man boxer </t>
  </si>
  <si>
    <t xml:space="preserve">vk tặng ck: funny, bậy non clipart, clipart human, convert ảnh (ít)</t>
  </si>
  <si>
    <t xml:space="preserve">T-shirt &amp; Onesie (bán pack) </t>
  </si>
  <si>
    <t xml:space="preserve">First Dad/grandpa/1st FD as family: clipart non human, clipart human (ít)</t>
  </si>
  <si>
    <t xml:space="preserve">....</t>
  </si>
  <si>
    <t xml:space="preserve">Accessories</t>
  </si>
  <si>
    <t xml:space="preserve">Pocket Hug</t>
  </si>
  <si>
    <t xml:space="preserve">For Dad/grandpa general: clipart non human, typo, convert ảnh (ít): (2)
To son, grandson, dad, husband: sentimental (3)</t>
  </si>
  <si>
    <t xml:space="preserve">hoa 3 (done)
Ngân thiếu 1 cái senti, 2 cái non human-convert ảnh</t>
  </si>
  <si>
    <t xml:space="preserve">Classic Cap</t>
  </si>
  <si>
    <t xml:space="preserve">For Dad/grandpa general: clipart non human, typo, clipart human (ít) (2)
hobby/jobs: 3D, clipart non human
ưu tiên các niche rõ demand: Golf, Fishing, garage, camping, sport (baseball, oftball, football) test thêm hobby mới: game guitar (3)</t>
  </si>
  <si>
    <t xml:space="preserve">Ngân thiếu 3 cái hobby nhé :))))</t>
  </si>
  <si>
    <t xml:space="preserve">Wooden Spirit Level Bottle Opener</t>
  </si>
  <si>
    <t xml:space="preserve">For Dad/grandpa general: clipart non human, typo, clipart human (ít), convert ảnh (ít):</t>
  </si>
  <si>
    <t xml:space="preserve">human 1</t>
  </si>
  <si>
    <t xml:space="preserve">Wooden Opener &amp; Sharpener (sp ms)</t>
  </si>
  <si>
    <t xml:space="preserve">human 1 
phương 3
chờ mockup bên X</t>
  </si>
  <si>
    <t xml:space="preserve">Custom shaped acrylic car visor clip (sp ms)</t>
  </si>
  <si>
    <t xml:space="preserve">.</t>
  </si>
  <si>
    <t xml:space="preserve">Screwdriver Set</t>
  </si>
  <si>
    <t xml:space="preserve">For Dad/grandpa general: clipart non human 3D</t>
  </si>
  <si>
    <t xml:space="preserve">pocket watch</t>
  </si>
  <si>
    <t xml:space="preserve">To son, grandson, dad, husband: sentimental + 3D</t>
  </si>
  <si>
    <t xml:space="preserve">+ 1 to dad
+ 1 to son/grandson</t>
  </si>
  <si>
    <t xml:space="preserve">compass</t>
  </si>
  <si>
    <t xml:space="preserve">To son, grandson, dad, husband: sentimental </t>
  </si>
  <si>
    <t xml:space="preserve">leather braided bracelet</t>
  </si>
  <si>
    <t xml:space="preserve">To son, grandson, dad, husband: sentimental (3)
vk tặng ck: funny, bậy non clipart, clipart human (1)</t>
  </si>
  <si>
    <t xml:space="preserve">cuban link chain</t>
  </si>
  <si>
    <t xml:space="preserve">To son, grandson, dad, husband: sentimental (2)
vk tặng ck: funny, bậy non clipart, clipart human, convert ảnh (ít) (1) </t>
  </si>
  <si>
    <t xml:space="preserve">C Bich 1 cái</t>
  </si>
  <si>
    <t xml:space="preserve">Tape Measure</t>
  </si>
  <si>
    <t xml:space="preserve">Metal Wallet Card</t>
  </si>
  <si>
    <t xml:space="preserve">vk tặng ck: funny, bậy non clipart, clipart human, convert ảnh (ít) </t>
  </si>
  <si>
    <t xml:space="preserve">thiếu vk tặng ck funny bậy</t>
  </si>
  <si>
    <t xml:space="preserve">Leather Wallet</t>
  </si>
  <si>
    <t xml:space="preserve">Golf Towel
(sp mới)</t>
  </si>
  <si>
    <t xml:space="preserve">hobby/jobs: 3D, clipart non human, upload ảnh: golf</t>
  </si>
  <si>
    <t xml:space="preserve">Ngân 3 cái</t>
  </si>
  <si>
    <t xml:space="preserve">Embroidered Cap</t>
  </si>
  <si>
    <t xml:space="preserve">hobby/jobs: 3D, clipart non human
ưu tiên các niche rõ demand: Golf, Fishing, garage, amping, sport (baseball, oftball, football) test thêm hobby mới: game guitar</t>
  </si>
  <si>
    <t xml:space="preserve">Silicone phone case</t>
  </si>
  <si>
    <t xml:space="preserve">Memorial Loss Dad Husband: 3D, upload photo</t>
  </si>
  <si>
    <t xml:space="preserve">Drinkware</t>
  </si>
  <si>
    <t xml:space="preserve">Whiskey Bottle/Round Whiskey Glass </t>
  </si>
  <si>
    <t xml:space="preserve">For Dad/grandpa general: clipart non human, typo, clipart human (ít), convert ảnh (ít) (3)
lưu ý: fist bump, nòng nọc, cờ Mỹ, handprints, các con vật, người que...
Whiskey glass/Whiskey Bottle (3)</t>
  </si>
  <si>
    <t xml:space="preserve">Leather Can Cooler </t>
  </si>
  <si>
    <t xml:space="preserve">For Dad/grandpa general: clipart non human, typo, clipart human (ít), convert ảnh (ít)
lưu ý: fist bump, nòng nọc, cờ Mỹ, handprints, các con vật, người que...</t>
  </si>
  <si>
    <t xml:space="preserve">human 1 Thúy 2</t>
  </si>
  <si>
    <t xml:space="preserve">Tumbler</t>
  </si>
  <si>
    <t xml:space="preserve">For Dad/grandpa general: clipart non human, typo, clipart human (ít), convert ảnh (ít)-test thử 3D + senti (3)
hobby/jobs: 3D, clipart non human
ưu tiên các niche rõ demand: Golf, Fishing, garage, camping, sport (baseball, oftball, football) test thêm hobby mới: game guitar (3)</t>
  </si>
  <si>
    <t xml:space="preserve">Hoa 2 cái (done)</t>
  </si>
  <si>
    <t xml:space="preserve">1 human</t>
  </si>
  <si>
    <t xml:space="preserve">Reaction</t>
  </si>
  <si>
    <t xml:space="preserve">All line</t>
  </si>
  <si>
    <t xml:space="preserve">1. sản phẩm mới (đã test oke)
2. Các sp cơ bản trong list sau
2D unisex T-shirt
plaque/wooden plaque
 Cap: classic cap/denim cap/leather patch hat 
Mug/Tumbler/whiskey glass/whiskey bottle (3D) 
3. sản phẩm riêng của niche (nếu có sẵn)
vd: niche golf -&gt; golf tower</t>
  </si>
  <si>
    <t xml:space="preserve">Scale camp và Reaction theo thị trường, đối với reaction:
Khi idea rank đã cao (trên 2k)
1. Scale idea lên sp trong list gợi ý (khoảng 4-5 idea, chọn các sp phù hợp nhất)
2. Làm mới idea của đối thủ trên chính sp đó (khoảng 2-3 idea)
Khi idea rank thấp nhưng tăng đều (dưới 5k)
clone idea trên chính sp đó
Khi idea ở Rank giữa (3k-4k)
theo dõi hoặc clone nếu idea đó trùng với thế mạnh của store (thuộc niche hoặc concept hoặc sp store từng có dấu hiệu hoặc từng win)</t>
  </si>
  <si>
    <t xml:space="preserve">urgent</t>
  </si>
  <si>
    <t xml:space="preserve">
FD Reaction</t>
  </si>
  <si>
    <t xml:space="preserve">All Line</t>
  </si>
  <si>
    <t xml:space="preserve">All Product</t>
  </si>
  <si>
    <t xml:space="preserve">Các camp có dấu hiệu trên ttrg</t>
  </si>
  <si>
    <t xml:space="preserve">Idea Creator</t>
  </si>
  <si>
    <t xml:space="preserve">Idea Created</t>
  </si>
  <si>
    <t xml:space="preserve">Linh</t>
  </si>
  <si>
    <t xml:space="preserve">Tùng</t>
  </si>
  <si>
    <t xml:space="preserve">Bích </t>
  </si>
  <si>
    <t xml:space="preserve">Trang</t>
  </si>
  <si>
    <t xml:space="preserve">Mai</t>
  </si>
  <si>
    <t xml:space="preserve">Thúy</t>
  </si>
  <si>
    <t xml:space="preserve">Phuong</t>
  </si>
  <si>
    <t xml:space="preserve">JS</t>
  </si>
  <si>
    <t xml:space="preserve">FC</t>
  </si>
  <si>
    <t xml:space="preserve">Bích</t>
  </si>
  <si>
    <t xml:space="preserve">SB</t>
  </si>
  <si>
    <t xml:space="preserve">BW</t>
  </si>
  <si>
    <t xml:space="preserve">JM</t>
  </si>
  <si>
    <t xml:space="preserve"> </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</si>
  <si>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</si>
  <si>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</si>
  <si>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</si>
  <si>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</si>
  <si>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</si>
  <si>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</si>
  <si>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</si>
  <si>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</si>
  <si>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Evergreen
(tuần nào cũng phải làm)
(crossing suncatcher BW và SB)</t>
  </si>
  <si>
    <t xml:space="preserve">
Home Decor
Apparel</t>
  </si>
  <si>
    <t xml:space="preserve">Suncatcher</t>
  </si>
  <si>
    <t xml:space="preserve">For grandkids evergreen, summer</t>
  </si>
  <si>
    <t xml:space="preserve">Ngân</t>
  </si>
  <si>
    <t xml:space="preserve">Bắt buộc xong trong tuần</t>
  </si>
  <si>
    <t xml:space="preserve">Baby One-piece</t>
  </si>
  <si>
    <t xml:space="preserve">Huyền</t>
  </si>
  <si>
    <t xml:space="preserve">One-piece swimsuit (sp mới)</t>
  </si>
  <si>
    <t xml:space="preserve">Kid classic cap</t>
  </si>
  <si>
    <t xml:space="preserve">Phương</t>
  </si>
  <si>
    <t xml:space="preserve">Total</t>
  </si>
  <si>
    <t xml:space="preserve">Father's Day (Crossing SB)</t>
  </si>
  <si>
    <t xml:space="preserve">Drinkware
Apparel</t>
  </si>
  <si>
    <t xml:space="preserve">Whiskey Bottle/beer Glass/tumbler</t>
  </si>
  <si>
    <t xml:space="preserve">For Dad/grandpa Funny: clipart non human, typo, clipart human (ít)
lưu ý: nòng nọc, handprints, các con vật, hướng funny</t>
  </si>
  <si>
    <t xml:space="preserve">T-shirt</t>
  </si>
  <si>
    <t xml:space="preserve">Thúy</t>
  </si>
  <si>
    <t xml:space="preserve">TOTAL</t>
  </si>
  <si>
    <t xml:space="preserve">Decor
Accessories</t>
  </si>
  <si>
    <t xml:space="preserve">leather braided bracelet </t>
  </si>
  <si>
    <t xml:space="preserve">To son, grandson, dad: sentimental
To husband sentimental: crossing từ FC qua</t>
  </si>
  <si>
    <t xml:space="preserve">                                                                                                                                            </t>
  </si>
  <si>
    <t xml:space="preserve">Wooden Desk Clock/Custom Shaped Wooden Desk Clock </t>
  </si>
  <si>
    <t xml:space="preserve">Stainless Steel Charm Bracelet (sp mới)</t>
  </si>
  <si>
    <t xml:space="preserve">em đợi mokup do em chưa biết sp trông nhu thế nào</t>
  </si>
  <si>
    <t xml:space="preserve">Men's Infinity Bracelet With Box &amp; Card (sp mới)</t>
  </si>
  <si>
    <t xml:space="preserve">Hoa 1 cái cho son</t>
  </si>
  <si>
    <t xml:space="preserve">Watch </t>
  </si>
  <si>
    <t xml:space="preserve">....</t>
  </si>
  <si>
    <t xml:space="preserve">Accessories
Drinkware</t>
  </si>
  <si>
    <t xml:space="preserve">Tape Measure</t>
  </si>
  <si>
    <t xml:space="preserve">vk tặng ck: funny, bậy non clipart, clipart human</t>
  </si>
  <si>
    <t xml:space="preserve">Whiskey glass/Whiskey Bottle</t>
  </si>
  <si>
    <t xml:space="preserve">Leather Wallet</t>
  </si>
  <si>
    <t xml:space="preserve">Leather Belt With Engraved/Printed Buckle (idea nào cần có màu thì chọn loại printed)</t>
  </si>
  <si>
    <t xml:space="preserve">Men's Infinity Bracelet With Box &amp; Card</t>
  </si>
  <si>
    <t xml:space="preserve">1 cái bậy 1 cái senti cho chồng</t>
  </si>
  <si>
    <t xml:space="preserve">.</t>
  </si>
  <si>
    <t xml:space="preserve">Keychain</t>
  </si>
  <si>
    <t xml:space="preserve">All Line</t>
  </si>
  <si>
    <t xml:space="preserve">Whiskey Bottle/Tumbler 
Cap/embroidered cap 
metal sign/custom shaped metal sign/Plaque/wooden plaque/suncatcher 
T-shirt/Polo</t>
  </si>
  <si>
    <t xml:space="preserve">hobby/jobs: 3D, clipart non human: 20%
ưu tiên các niche rõ demand: Golf, Fishing, garage, camping, sport (baseball, softball, football) test thêm hobby mới: guitar, retirement
Tùy idea mà chọn sp phù hợp và react theo ttrg</t>
  </si>
  <si>
    <t xml:space="preserve">Men's Grilling Apron (sp mới)</t>
  </si>
  <si>
    <t xml:space="preserve">1 hobby, 1 vk ck, 1 dad/grandpa general</t>
  </si>
  <si>
    <t xml:space="preserve">thíu 1 cái vk tặng ck :)))</t>
  </si>
  <si>
    <t xml:space="preserve">Accessories
Decor</t>
  </si>
  <si>
    <t xml:space="preserve">Key chain, plaque/night light</t>
  </si>
  <si>
    <t xml:space="preserve">First Dad/grandpa/1st FD as family: clipart non human, clipart human</t>
  </si>
  <si>
    <t xml:space="preserve">Accessories
Apparel</t>
  </si>
  <si>
    <t xml:space="preserve">T-shirt/Pocket Hug</t>
  </si>
  <si>
    <t xml:space="preserve">Memorial Loss Dad Husband: senti, upload photo</t>
  </si>
  <si>
    <t xml:space="preserve">All line
crossing SB</t>
  </si>
  <si>
    <t xml:space="preserve">cap, t-shirt, suncatcher, inner neck and front, các sp chất liệu da/kim loại ok và các sp mới</t>
  </si>
  <si>
    <t xml:space="preserve">Convert art
30% là Pencil Sketch
70% là testing các style mới
chọn sp bên mk có dấu hiệu: các loại cap, t-shirt, suncatcher, inner neck and front, các sp chất liệu da/kim loại ok và test lên các sp mới </t>
  </si>
  <si>
    <t xml:space="preserve">Bích</t>
  </si>
  <si>
    <t xml:space="preserve">1 human</t>
  </si>
  <si>
    <t xml:space="preserve">Reaction</t>
  </si>
  <si>
    <t xml:space="preserve">All line</t>
  </si>
  <si>
    <t xml:space="preserve">1. sản phẩm mới (đã test oke)
2. Các sp cơ bản trong list sau
2D unisex T-shirt
plaque/wooden plaque
 Cap: classic cap/denim cap/leather patch hat 
Mug/Tumbler/whiskey glass/whiskey bottle (3D) 
3. sản phẩm riêng của niche (nếu có sẵn)
vd: niche golf -&gt; golf tower</t>
  </si>
  <si>
    <t xml:space="preserve">Scale camp và Reaction theo thị trường, đối với reaction:
Khi idea rank đã cao (trên 2k)
1. Scale idea lên sp trong list gợi ý (khoảng 4-5 idea, chọn các sp phù hợp nhất)
2. Làm mới idea của đối thủ trên chính sp đó (khoảng 2-3 idea)
Khi idea rank thấp nhưng tăng đều (dưới 5k)
clone idea trên chính sp đó
Khi idea ở Rank giữa (3k-4k)
theo dõi hoặc clone nếu idea đó trùng với thế mạnh của store (thuộc niche hoặc concept hoặc sp store từng có dấu hiệu hoặc từng win)</t>
  </si>
  <si>
    <t xml:space="preserve">Hoa</t>
  </si>
  <si>
    <t xml:space="preserve">urgent/high</t>
  </si>
  <si>
    <t xml:space="preserve">
FD Reaction</t>
  </si>
  <si>
    <t xml:space="preserve">All Product</t>
  </si>
  <si>
    <t xml:space="preserve">Các camp có dấu hiệu trên ttrg</t>
  </si>
  <si>
    <t xml:space="preserve">Idea Creator</t>
  </si>
  <si>
    <t xml:space="preserve">Idea Created</t>
  </si>
  <si>
    <t xml:space="preserve">Linh</t>
  </si>
  <si>
    <t xml:space="preserve">Tùng</t>
  </si>
  <si>
    <t xml:space="preserve">Bích </t>
  </si>
  <si>
    <t xml:space="preserve">Kim Ngân</t>
  </si>
  <si>
    <t xml:space="preserve">Mai</t>
  </si>
  <si>
    <t xml:space="preserve">Thúy</t>
  </si>
  <si>
    <t xml:space="preserve">Phuong</t>
  </si>
  <si>
    <t xml:space="preserve">Phương Ngân</t>
  </si>
  <si>
    <t xml:space="preserve">JS</t>
  </si>
  <si>
    <t xml:space="preserve">FC</t>
  </si>
  <si>
    <t xml:space="preserve">SB</t>
  </si>
  <si>
    <t xml:space="preserve">BW</t>
  </si>
  <si>
    <t xml:space="preserve">JM</t>
  </si>
  <si>
    <t xml:space="preserve"> </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</si>
  <si>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</si>
  <si>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</si>
  <si>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</si>
  <si>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</si>
  <si>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</si>
  <si>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</si>
  <si>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</si>
  <si>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</si>
  <si>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Evergreen
(tuần nào cũng phải làm)
(crossing suncatcher BW và SB)</t>
  </si>
  <si>
    <t xml:space="preserve">
Home Decor
Apparel</t>
  </si>
  <si>
    <t xml:space="preserve">Kid T-shirt</t>
  </si>
  <si>
    <t xml:space="preserve">For grandkids evergreen, summer
250th</t>
  </si>
  <si>
    <t xml:space="preserve">Phương</t>
  </si>
  <si>
    <t xml:space="preserve">Bắt buộc xong trong tuần</t>
  </si>
  <si>
    <t xml:space="preserve">Baby One-piece</t>
  </si>
  <si>
    <t xml:space="preserve">Huyền</t>
  </si>
  <si>
    <t xml:space="preserve">One-piece swimsuit (sp mới)</t>
  </si>
  <si>
    <t xml:space="preserve">For grandkids evergreen, summer</t>
  </si>
  <si>
    <t xml:space="preserve">Kid classic cap</t>
  </si>
  <si>
    <t xml:space="preserve">Hoa</t>
  </si>
  <si>
    <t xml:space="preserve">Total</t>
  </si>
  <si>
    <t xml:space="preserve">Father's Day (Crossing SB)</t>
  </si>
  <si>
    <t xml:space="preserve">Drinkware
Apparel</t>
  </si>
  <si>
    <t xml:space="preserve">Leather Desk Mat</t>
  </si>
  <si>
    <t xml:space="preserve">For Dad/grandpa general:  clipart non human, typo
lưu ý: nòng nọc, handprints, các con vật, tay đấm, cờ Mỹ</t>
  </si>
  <si>
    <t xml:space="preserve">Leather Charging Mat</t>
  </si>
  <si>
    <t xml:space="preserve">Building Brick Pen Holder</t>
  </si>
  <si>
    <t xml:space="preserve">chưa xong mockup</t>
  </si>
  <si>
    <t xml:space="preserve">Building Brick Puzzle</t>
  </si>
  <si>
    <t xml:space="preserve">TOTAL</t>
  </si>
  <si>
    <t xml:space="preserve">Decor
Accessories</t>
  </si>
  <si>
    <t xml:space="preserve">Leather Desk Mat </t>
  </si>
  <si>
    <t xml:space="preserve">To son, grandson, dad: sentimental</t>
  </si>
  <si>
    <t xml:space="preserve">                                                                                                                                            </t>
  </si>
  <si>
    <t xml:space="preserve">Leather Charging Mat  </t>
  </si>
  <si>
    <t xml:space="preserve">Leather Watch Case With Inner Design</t>
  </si>
  <si>
    <t xml:space="preserve">Printed rock</t>
  </si>
  <si>
    <t xml:space="preserve">Men's Engraved Leather Wallet</t>
  </si>
  <si>
    <t xml:space="preserve">Men's Infinity Bracelet With Box &amp; Card</t>
  </si>
  <si>
    <t xml:space="preserve">Stainless Steel Charm Bracelet</t>
  </si>
  <si>
    <t xml:space="preserve">To son, grandson, dad: sentimental (2)
to husband senti (1)</t>
  </si>
  <si>
    <t xml:space="preserve">Accessories
Drinkware</t>
  </si>
  <si>
    <t xml:space="preserve">Tape Measure</t>
  </si>
  <si>
    <t xml:space="preserve">vk tặng ck: funny, bậy non clipart, clipart human</t>
  </si>
  <si>
    <t xml:space="preserve">new product</t>
  </si>
  <si>
    <t xml:space="preserve">Men's Leather Wallet</t>
  </si>
  <si>
    <t xml:space="preserve">Leather Belt With Engraved/Printed Buckle (idea nào cần có màu thì chọn loại printed)</t>
  </si>
  <si>
    <t xml:space="preserve">engraved whiskey glass</t>
  </si>
  <si>
    <t xml:space="preserve">1 cái bậy 1 cái senti cho chồng</t>
  </si>
  <si>
    <t xml:space="preserve">.</t>
  </si>
  <si>
    <t xml:space="preserve">acrylic/stainless Keychain</t>
  </si>
  <si>
    <t xml:space="preserve">All Line</t>
  </si>
  <si>
    <t xml:space="preserve">Leather Desk Mat (2)
Leather Charging Mat (2)
Beer glass (2)
Tumbler/Cap/plaque/t-shirt mới (8)</t>
  </si>
  <si>
    <t xml:space="preserve">hobby/jobs: 3D, clipart non human: 20%
ưu tiên các niche rõ demand: Golf, Fishing, garage, camping, sport (baseball, softball, football) test thêm hobby mới: guitar, retirement
Tùy idea mà chọn sp phù hợp và react theo ttrg</t>
  </si>
  <si>
    <t xml:space="preserve">Ngân</t>
  </si>
  <si>
    <t xml:space="preserve">Men's Grilling Apron</t>
  </si>
  <si>
    <t xml:space="preserve">vk tặng ck</t>
  </si>
  <si>
    <t xml:space="preserve">thíu 1 cái vk tặng ck :)))</t>
  </si>
  <si>
    <t xml:space="preserve">Accessories
Decor</t>
  </si>
  <si>
    <t xml:space="preserve">Tự chọn sp theo tình hình ttrg  </t>
  </si>
  <si>
    <t xml:space="preserve">First Dad/grandpa/1st FD as family: clipart non human, clipart human</t>
  </si>
  <si>
    <t xml:space="preserve">Accessories
Apparel</t>
  </si>
  <si>
    <t xml:space="preserve">Memorial Loss Dad Husband: senti, upload photo</t>
  </si>
  <si>
    <t xml:space="preserve">All line
crossing SB</t>
  </si>
  <si>
    <t xml:space="preserve">Leather Desk Mat (2)
Leather Charging Mat (2)
Building Brick Pen Holder (2)
Building Brick Puzzle (2)
Leather Watch Case With Inner Design (2)
Printed rock (2)
t-shirt (in trước, sau, tay) (3)</t>
  </si>
  <si>
    <t xml:space="preserve">Convert art
Pencil sketch và test thử các art style khác, 2 hướng cp senti và for dad/grandpa</t>
  </si>
  <si>
    <t xml:space="preserve">Bích</t>
  </si>
  <si>
    <t xml:space="preserve">1 human</t>
  </si>
  <si>
    <t xml:space="preserve">Reaction</t>
  </si>
  <si>
    <t xml:space="preserve">All line</t>
  </si>
  <si>
    <t xml:space="preserve">1. sản phẩm mới (đã test oke)
2. Các sp cơ bản trong list sau
2D unisex T-shirt
plaque/wooden plaque
 Cap: classic cap/denim cap/leather patch hat 
Mug/Tumbler/whiskey glass/whiskey bottle (3D) 
3. sản phẩm riêng của niche (nếu có sẵn)
vd: niche golf -&gt; golf tower</t>
  </si>
  <si>
    <t xml:space="preserve">Scale camp và Reaction FD và 250th theo thị trường, đối với reaction:
Khi idea rank đã cao (trên 2k)
1. Scale idea lên sp trong list gợi ý (khoảng 4-5 idea, chọn các sp phù hợp nhất)
2. Làm mới idea của đối thủ trên chính sp đó (khoảng 2-3 idea)
Khi idea rank thấp nhưng tăng đều (dưới 5k)
clone idea trên chính sp đó
Khi idea ở Rank giữa (3k-4k)
theo dõi hoặc clone nếu idea đó trùng với thế mạnh của store (thuộc niche hoặc concept hoặc sp store từng có dấu hiệu hoặc từng win)</t>
  </si>
  <si>
    <t xml:space="preserve">Thúy</t>
  </si>
  <si>
    <t xml:space="preserve">urgent/high</t>
  </si>
  <si>
    <t xml:space="preserve">
FD Reaction</t>
  </si>
  <si>
    <t xml:space="preserve">All Product</t>
  </si>
  <si>
    <t xml:space="preserve">Các camp có dấu hiệu trên ttrg</t>
  </si>
  <si>
    <t xml:space="preserve">Idea Creator</t>
  </si>
  <si>
    <t xml:space="preserve">Idea created</t>
  </si>
  <si>
    <t xml:space="preserve">Linh</t>
  </si>
  <si>
    <t xml:space="preserve">Tùng</t>
  </si>
  <si>
    <t xml:space="preserve">Bích </t>
  </si>
  <si>
    <t xml:space="preserve">Kim Ngân</t>
  </si>
  <si>
    <t xml:space="preserve">Mai</t>
  </si>
  <si>
    <t xml:space="preserve">Thúy</t>
  </si>
  <si>
    <t xml:space="preserve">Phuong</t>
  </si>
  <si>
    <t xml:space="preserve">Phương Ngân</t>
  </si>
  <si>
    <t xml:space="preserve">JS</t>
  </si>
  <si>
    <t xml:space="preserve">FC</t>
  </si>
  <si>
    <t xml:space="preserve">SB</t>
  </si>
  <si>
    <t xml:space="preserve">BW</t>
  </si>
  <si>
    <t xml:space="preserve">JM</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</si>
  <si>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</si>
  <si>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</si>
  <si>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</si>
  <si>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</si>
  <si>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</si>
  <si>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</si>
  <si>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</si>
  <si>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</si>
  <si>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Evergreen
(tuần nào cũng phải làm)
(crossing suncatcher BW và SB)</t>
  </si>
  <si>
    <t xml:space="preserve">
Home Decor
Apparel</t>
  </si>
  <si>
    <t xml:space="preserve">Boy Kid swimsuit</t>
  </si>
  <si>
    <t xml:space="preserve">For grandkids evergreen, summer
250th</t>
  </si>
  <si>
    <t xml:space="preserve">Huyền</t>
  </si>
  <si>
    <t xml:space="preserve">Bắt buộc xong trong tuần</t>
  </si>
  <si>
    <t xml:space="preserve">Back to school
(crossing SB, BW)</t>
  </si>
  <si>
    <t xml:space="preserve">acessories
decor</t>
  </si>
  <si>
    <t xml:space="preserve">School Backpack </t>
  </si>
  <si>
    <t xml:space="preserve">Back to school kid</t>
  </si>
  <si>
    <t xml:space="preserve">Hoa</t>
  </si>
  <si>
    <t xml:space="preserve">Kid Cap</t>
  </si>
  <si>
    <t xml:space="preserve">Wooden door sign/poster/canvas/doormat</t>
  </si>
  <si>
    <t xml:space="preserve">Back to school teacher (for classroom)</t>
  </si>
  <si>
    <t xml:space="preserve">Kid Water Bottle</t>
  </si>
  <si>
    <t xml:space="preserve">Phương</t>
  </si>
  <si>
    <t xml:space="preserve">kid T-shirt/t-shirt</t>
  </si>
  <si>
    <t xml:space="preserve">Back to school kid and teacher</t>
  </si>
  <si>
    <t xml:space="preserve">Total</t>
  </si>
  <si>
    <t xml:space="preserve">FD và 250th
Reaction</t>
  </si>
  <si>
    <t xml:space="preserve">All type</t>
  </si>
  <si>
    <t xml:space="preserve">Các sản phẩm US: shirt with inner neck, tumbler, mug, t-shirt (cũ và mới), plaque vuông</t>
  </si>
  <si>
    <t xml:space="preserve">Scale các camp win và react thị trường</t>
  </si>
  <si>
    <t xml:space="preserve">Anniversary</t>
  </si>
  <si>
    <t xml:space="preserve">All Type</t>
  </si>
  <si>
    <t xml:space="preserve">Plaque/wooden plaque</t>
  </si>
  <si>
    <t xml:space="preserve">3 hướng: 
3D art (plaque, suncatcher...)
sentimental (pocket hug
Funny, bậy
clipart cp (ít)
mug: thử cả dạng chỉ quote puffy mà bên mk đang vít đc</t>
  </si>
  <si>
    <t xml:space="preserve">Thúy</t>
  </si>
  <si>
    <t xml:space="preserve">whiskey bottle/whiskey glass</t>
  </si>
  <si>
    <t xml:space="preserve">pocket hug</t>
  </si>
  <si>
    <t xml:space="preserve">doormat/metal sign</t>
  </si>
  <si>
    <t xml:space="preserve">Inner neck</t>
  </si>
  <si>
    <t xml:space="preserve">suncatcher</t>
  </si>
  <si>
    <t xml:space="preserve">mug</t>
  </si>
  <si>
    <t xml:space="preserve">woman's brief/boxer</t>
  </si>
  <si>
    <t xml:space="preserve">Acrylic Fridge Magnet (sp đã có nhưng cần update thêm mockup với ảnh size)</t>
  </si>
  <si>
    <t xml:space="preserve">TOTAL</t>
  </si>
  <si>
    <t xml:space="preserve">Evergreen</t>
  </si>
  <si>
    <t xml:space="preserve">T-shirt/mug/tumbler/whiskey glass/pocket hug/plaque/jewelry
Tự chọn thêm sp theo tình hình thị trường để duy trì</t>
  </si>
  <si>
    <t xml:space="preserve">Family evergreen to son, grandson, dad, mom, daughter, granddaughter</t>
  </si>
  <si>
    <t xml:space="preserve">                                                                                                                                            </t>
  </si>
  <si>
    <t xml:space="preserve">
bestie (international bestie day 30/6)</t>
  </si>
  <si>
    <t xml:space="preserve">memorial</t>
  </si>
  <si>
    <t xml:space="preserve">Summer</t>
  </si>
  <si>
    <t xml:space="preserve">beach short/hawaiian shirt/T-shirt
wooden door sign/metal sign
beach towel</t>
  </si>
  <si>
    <t xml:space="preserve">
Summer for family (travel, beach...)
Summer + hobbies
Summer bestie/bestie</t>
  </si>
  <si>
    <t xml:space="preserve">flag, metal sign, apron, mug</t>
  </si>
  <si>
    <t xml:space="preserve">Garden (3D, clipart)</t>
  </si>
  <si>
    <t xml:space="preserve">.</t>
  </si>
  <si>
    <t xml:space="preserve">All Line</t>
  </si>
  <si>
    <t xml:space="preserve">Ngân</t>
  </si>
  <si>
    <t xml:space="preserve">Bích</t>
  </si>
  <si>
    <t xml:space="preserve">1 human</t>
  </si>
  <si>
    <t xml:space="preserve">urgent/high</t>
  </si>
  <si>
    <t xml:space="preserve">
Reaction</t>
  </si>
  <si>
    <t xml:space="preserve">All Product</t>
  </si>
  <si>
    <t xml:space="preserve">Các camp có dấu hiệu trên ttrg thuộc tất cả các dịp trên</t>
  </si>
  <si>
    <t xml:space="preserve">Idea Creator</t>
  </si>
  <si>
    <t xml:space="preserve">Idea created</t>
  </si>
  <si>
    <t xml:space="preserve">Linh</t>
  </si>
  <si>
    <t xml:space="preserve">Tùng</t>
  </si>
  <si>
    <t xml:space="preserve">Bích </t>
  </si>
  <si>
    <t xml:space="preserve">Kim Ngân</t>
  </si>
  <si>
    <t xml:space="preserve">Mai</t>
  </si>
  <si>
    <t xml:space="preserve">Thúy</t>
  </si>
  <si>
    <t xml:space="preserve">Phương Ngân</t>
  </si>
  <si>
    <t xml:space="preserve">Total New Idea</t>
  </si>
  <si>
    <t xml:space="preserve">JS</t>
  </si>
  <si>
    <t xml:space="preserve">FC</t>
  </si>
  <si>
    <t xml:space="preserve">SB</t>
  </si>
  <si>
    <t xml:space="preserve">BW</t>
  </si>
  <si>
    <t xml:space="preserve">JM</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</si>
  <si>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</si>
  <si>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</si>
  <si>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</si>
  <si>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</si>
  <si>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</si>
  <si>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</si>
  <si>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</si>
  <si>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</si>
  <si>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Evergreen
(tuần nào cũng phải làm)
(crossing suncatcher BW và SB)</t>
  </si>
  <si>
    <t xml:space="preserve">
Home Decor
Apparel</t>
  </si>
  <si>
    <t xml:space="preserve">Boy Kid swimsuit</t>
  </si>
  <si>
    <t xml:space="preserve">For grandkids evergreen, summer
250th</t>
  </si>
  <si>
    <t xml:space="preserve">Huyền</t>
  </si>
  <si>
    <t xml:space="preserve">Bắt buộc xong trong tuần</t>
  </si>
  <si>
    <t xml:space="preserve">Back to school
(crossing SB, BW)</t>
  </si>
  <si>
    <t xml:space="preserve">acessories
decor</t>
  </si>
  <si>
    <t xml:space="preserve">School Backpack </t>
  </si>
  <si>
    <t xml:space="preserve">Back to school kid</t>
  </si>
  <si>
    <t xml:space="preserve">Hoa</t>
  </si>
  <si>
    <t xml:space="preserve">Wooden door sign/poster/canvas/doormat</t>
  </si>
  <si>
    <t xml:space="preserve">Back to school teacher (for classroom)</t>
  </si>
  <si>
    <t xml:space="preserve">Thúy</t>
  </si>
  <si>
    <t xml:space="preserve">Kid Water Bottle</t>
  </si>
  <si>
    <t xml:space="preserve">Phương</t>
  </si>
  <si>
    <t xml:space="preserve">Plaque</t>
  </si>
  <si>
    <t xml:space="preserve">Back to school teacher</t>
  </si>
  <si>
    <t xml:space="preserve">Thúy 2</t>
  </si>
  <si>
    <t xml:space="preserve">Total</t>
  </si>
  <si>
    <t xml:space="preserve">Anniversary</t>
  </si>
  <si>
    <t xml:space="preserve">All type</t>
  </si>
  <si>
    <t xml:space="preserve">short leggings</t>
  </si>
  <si>
    <t xml:space="preserve">3 hướng: 
3D art (plaque, suncatcher...)
sentimental (pocket hug
Funny, bậy
clipart cp (ít)
mug: thử cả dạng chỉ quote puffy mà bên mk đang vít đc</t>
  </si>
  <si>
    <t xml:space="preserve">boxers</t>
  </si>
  <si>
    <t xml:space="preserve">silicon magnet</t>
  </si>
  <si>
    <t xml:space="preserve">pocket hug</t>
  </si>
  <si>
    <t xml:space="preserve">Infinity Heart Sculpture</t>
  </si>
  <si>
    <t xml:space="preserve">Inner neck</t>
  </si>
  <si>
    <t xml:space="preserve">suncatcher</t>
  </si>
  <si>
    <t xml:space="preserve">mug</t>
  </si>
  <si>
    <t xml:space="preserve">men tie (thử kiểu wedding mà bố mẹ tặng con trai hoặc con gái tặng bố ấy, cufflinks set</t>
  </si>
  <si>
    <t xml:space="preserve">TOTAL</t>
  </si>
  <si>
    <t xml:space="preserve">Evergreen</t>
  </si>
  <si>
    <t xml:space="preserve">T-shirt/mug/tumbler/whiskey glass/pocket hug/plaque/jewelry
Tự chọn thêm sp theo tình hình thị trường để duy trì</t>
  </si>
  <si>
    <t xml:space="preserve">Family evergreen to son, grandson, dad, mom, daughter, granddaughter</t>
  </si>
  <si>
    <t xml:space="preserve">                                                                                                                                            </t>
  </si>
  <si>
    <t xml:space="preserve">1 cốc soccer
1 cốc camping
1 sign camping
</t>
  </si>
  <si>
    <t xml:space="preserve">
bestie</t>
  </si>
  <si>
    <t xml:space="preserve">Hoa 2</t>
  </si>
  <si>
    <t xml:space="preserve">memorial</t>
  </si>
  <si>
    <t xml:space="preserve">Summer</t>
  </si>
  <si>
    <t xml:space="preserve">plant pot mug, suncatcher
metal garden stake</t>
  </si>
  <si>
    <t xml:space="preserve">Garden</t>
  </si>
  <si>
    <t xml:space="preserve">Soccer ball, Onesie, t-shirt, classic cap
khăn choàng (xem có sp nào tương tự k), fan flag</t>
  </si>
  <si>
    <t xml:space="preserve">soccer (react WC gián tiếp)</t>
  </si>
  <si>
    <t xml:space="preserve">3 bóng
1 cốc
</t>
  </si>
  <si>
    <t xml:space="preserve">.</t>
  </si>
  <si>
    <t xml:space="preserve">All Line</t>
  </si>
  <si>
    <t xml:space="preserve">Ngân</t>
  </si>
  <si>
    <t xml:space="preserve">Bích</t>
  </si>
  <si>
    <t xml:space="preserve">1 human</t>
  </si>
  <si>
    <t xml:space="preserve">urgent/high</t>
  </si>
  <si>
    <t xml:space="preserve">
Reaction</t>
  </si>
  <si>
    <t xml:space="preserve">All Product</t>
  </si>
  <si>
    <t xml:space="preserve">Các camp có dấu hiệu trên ttrg thuộc tất cả các dịp trên</t>
  </si>
  <si>
    <t xml:space="preserve">Idea Creator</t>
  </si>
  <si>
    <t xml:space="preserve">Idea created</t>
  </si>
  <si>
    <t xml:space="preserve">Linh</t>
  </si>
  <si>
    <t xml:space="preserve">Tùng</t>
  </si>
  <si>
    <t xml:space="preserve">Bích </t>
  </si>
  <si>
    <t xml:space="preserve">Kim Ngân</t>
  </si>
  <si>
    <t xml:space="preserve">Mai</t>
  </si>
  <si>
    <t xml:space="preserve">Thúy</t>
  </si>
  <si>
    <t xml:space="preserve">Phương Ngân</t>
  </si>
  <si>
    <t xml:space="preserve">Total New Idea</t>
  </si>
  <si>
    <t xml:space="preserve">JS</t>
  </si>
  <si>
    <t xml:space="preserve">FC</t>
  </si>
  <si>
    <t xml:space="preserve">SB</t>
  </si>
  <si>
    <t xml:space="preserve">BW</t>
  </si>
  <si>
    <t xml:space="preserve">JM</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</si>
  <si>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</si>
  <si>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</si>
  <si>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</si>
  <si>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</si>
  <si>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</si>
  <si>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</si>
  <si>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</si>
  <si>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</si>
  <si>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Evergreen
(tuần nào cũng phải làm)
(crossing suncatcher BW và SB)</t>
  </si>
  <si>
    <t xml:space="preserve">
Home Decor
Apparel</t>
  </si>
  <si>
    <t xml:space="preserve">Boy Kid swimsuit</t>
  </si>
  <si>
    <t xml:space="preserve">For grandkids evergreen, summer
250th</t>
  </si>
  <si>
    <t xml:space="preserve">Huyền</t>
  </si>
  <si>
    <t xml:space="preserve">Back to school
(crossing SB, BW)</t>
  </si>
  <si>
    <t xml:space="preserve">acessories
decor</t>
  </si>
  <si>
    <t xml:space="preserve">School Backpack/Kid Water Bottle</t>
  </si>
  <si>
    <t xml:space="preserve">Back to school kid (có hướng idea mới thì lm, k thì thôi)</t>
  </si>
  <si>
    <t xml:space="preserve">Plaque, Deskmat, T-shirt, mug</t>
  </si>
  <si>
    <t xml:space="preserve">Back to school teacher</t>
  </si>
  <si>
    <t xml:space="preserve">Thúy</t>
  </si>
  <si>
    <t xml:space="preserve">Bunny</t>
  </si>
  <si>
    <t xml:space="preserve">Back to school kid (thử cả affirmation, alphabet, lẫn sentimental)</t>
  </si>
  <si>
    <t xml:space="preserve">Hoa</t>
  </si>
  <si>
    <t xml:space="preserve">Total</t>
  </si>
  <si>
    <t xml:space="preserve">Anniversary</t>
  </si>
  <si>
    <t xml:space="preserve">All type</t>
  </si>
  <si>
    <t xml:space="preserve">plaque, suncatcher</t>
  </si>
  <si>
    <t xml:space="preserve">3D art (plaque, suncatcher...)</t>
  </si>
  <si>
    <t xml:space="preserve">silicon magnet</t>
  </si>
  <si>
    <t xml:space="preserve">Funny, Bậy</t>
  </si>
  <si>
    <t xml:space="preserve">mouse pad</t>
  </si>
  <si>
    <t xml:space="preserve">Whiskey bottle</t>
  </si>
  <si>
    <t xml:space="preserve">belt mới</t>
  </si>
  <si>
    <t xml:space="preserve">Phương</t>
  </si>
  <si>
    <t xml:space="preserve">Inner neck</t>
  </si>
  <si>
    <t xml:space="preserve">sentimental</t>
  </si>
  <si>
    <t xml:space="preserve">pocket hug</t>
  </si>
  <si>
    <t xml:space="preserve">Men's Leather Wallet/Men's Engraved Wallet</t>
  </si>
  <si>
    <t xml:space="preserve">tumbler</t>
  </si>
  <si>
    <t xml:space="preserve">pen holder with clock</t>
  </si>
  <si>
    <t xml:space="preserve">Tumbler, Doormat, Whiskey bottle... (chọn sp phù hợp theo hobbies chung)</t>
  </si>
  <si>
    <t xml:space="preserve">CP Hobbies</t>
  </si>
  <si>
    <t xml:space="preserve">TOTAL</t>
  </si>
  <si>
    <t xml:space="preserve">Evergreen</t>
  </si>
  <si>
    <t xml:space="preserve">Inner neck, mug (all concept senti, 3D, funny, clipart)
Pocket Hug, envelope wallet (Only Senti chữ không)</t>
  </si>
  <si>
    <t xml:space="preserve">Family evergreen to son, grandson, daughter, granddaughter</t>
  </si>
  <si>
    <t xml:space="preserve">                                                                                                                                            </t>
  </si>
  <si>
    <t xml:space="preserve">Mug, Suncatcher, metal sign, inner neck</t>
  </si>
  <si>
    <t xml:space="preserve">Couple (cái nào clipart thì để Axon, có thể lm nhiều clipart chút cũng được, lưu ý metal sign, suncatcher clipart đang vít đc đối thủ)</t>
  </si>
  <si>
    <t xml:space="preserve">Mug </t>
  </si>
  <si>
    <t xml:space="preserve">
bestie (all concept senti, 3D, funny, clipart)</t>
  </si>
  <si>
    <t xml:space="preserve">Memo Urn</t>
  </si>
  <si>
    <t xml:space="preserve">memorial</t>
  </si>
  <si>
    <t xml:space="preserve">Summer</t>
  </si>
  <si>
    <t xml:space="preserve">Solar Fan Hat</t>
  </si>
  <si>
    <t xml:space="preserve">Garden</t>
  </si>
  <si>
    <t xml:space="preserve">Linh</t>
  </si>
  <si>
    <t xml:space="preserve">Soccer ball, AOP Onesie, t-shirt, denim cap, fan flag, jersey shirt</t>
  </si>
  <si>
    <t xml:space="preserve">soccer (WC), scale camp NP qua các niche khác</t>
  </si>
  <si>
    <t xml:space="preserve">Để high, react nhanh</t>
  </si>
  <si>
    <t xml:space="preserve">.</t>
  </si>
  <si>
    <t xml:space="preserve">All Line</t>
  </si>
  <si>
    <t xml:space="preserve">Ngân</t>
  </si>
  <si>
    <t xml:space="preserve">Bích</t>
  </si>
  <si>
    <t xml:space="preserve">1 human</t>
  </si>
  <si>
    <t xml:space="preserve">urgent/high</t>
  </si>
  <si>
    <t xml:space="preserve">
Reaction</t>
  </si>
  <si>
    <t xml:space="preserve">All Product</t>
  </si>
  <si>
    <t xml:space="preserve">Các camp có dấu hiệu trên ttrg thuộc tất cả các dịp trên</t>
  </si>
  <si>
    <t xml:space="preserve">Idea Creator</t>
  </si>
  <si>
    <t xml:space="preserve">Idea created</t>
  </si>
  <si>
    <t xml:space="preserve">Tùng</t>
  </si>
  <si>
    <t xml:space="preserve">Bích </t>
  </si>
  <si>
    <t xml:space="preserve">Kim Ngân</t>
  </si>
  <si>
    <t xml:space="preserve">Mai</t>
  </si>
  <si>
    <t xml:space="preserve">Thúy</t>
  </si>
  <si>
    <t xml:space="preserve">Phương Ngân</t>
  </si>
  <si>
    <t xml:space="preserve">Total New Idea</t>
  </si>
  <si>
    <t xml:space="preserve">JS</t>
  </si>
  <si>
    <t xml:space="preserve">FC</t>
  </si>
  <si>
    <t xml:space="preserve">SB</t>
  </si>
  <si>
    <t xml:space="preserve">BW</t>
  </si>
  <si>
    <t xml:space="preserve">JM</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</si>
  <si>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</si>
  <si>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</si>
  <si>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</si>
  <si>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</si>
  <si>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</si>
  <si>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</si>
  <si>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</si>
  <si>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</si>
  <si>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KID Evergreen
(tuần nào cũng phải làm)
(crossing suncatcher BW và SB) </t>
  </si>
  <si>
    <t xml:space="preserve">
Acessories
Apparel</t>
  </si>
  <si>
    <t xml:space="preserve">Kid swimsuit set</t>
  </si>
  <si>
    <t xml:space="preserve">For kids evergreen, summer</t>
  </si>
  <si>
    <t xml:space="preserve">Hoa</t>
  </si>
  <si>
    <t xml:space="preserve">Back to school
(crossing SB, BW)
</t>
  </si>
  <si>
    <t xml:space="preserve">Accessories
apparel
decor</t>
  </si>
  <si>
    <t xml:space="preserve">School Backpack</t>
  </si>
  <si>
    <t xml:space="preserve">rewind winning camp</t>
  </si>
  <si>
    <t xml:space="preserve">
doormat, doorsign, deskmat</t>
  </si>
  <si>
    <t xml:space="preserve">for teacher</t>
  </si>
  <si>
    <t xml:space="preserve">Phương</t>
  </si>
  <si>
    <t xml:space="preserve">crochet sunflower pot</t>
  </si>
  <si>
    <t xml:space="preserve">Thúy</t>
  </si>
  <si>
    <t xml:space="preserve">puzzle brick pen holder</t>
  </si>
  <si>
    <t xml:space="preserve">for kids</t>
  </si>
  <si>
    <t xml:space="preserve">Custom Book (Hard Cover)</t>
  </si>
  <si>
    <t xml:space="preserve">Total</t>
  </si>
  <si>
    <t xml:space="preserve">Anniversary/Wedding
</t>
  </si>
  <si>
    <t xml:space="preserve">All type</t>
  </si>
  <si>
    <t xml:space="preserve">plaque, suncatcher</t>
  </si>
  <si>
    <t xml:space="preserve">CP 3D general (thể hiện rõ anniversary)</t>
  </si>
  <si>
    <t xml:space="preserve">squishy car vent clip</t>
  </si>
  <si>
    <t xml:space="preserve">Funny, Bậy
</t>
  </si>
  <si>
    <t xml:space="preserve">Ngân</t>
  </si>
  <si>
    <t xml:space="preserve">mouse pad</t>
  </si>
  <si>
    <t xml:space="preserve">Whiskey bottle</t>
  </si>
  <si>
    <t xml:space="preserve">woman's brief</t>
  </si>
  <si>
    <t xml:space="preserve">Inner neck</t>
  </si>
  <si>
    <t xml:space="preserve">to my wife</t>
  </si>
  <si>
    <t xml:space="preserve">Hoa 1</t>
  </si>
  <si>
    <t xml:space="preserve">pocket hug</t>
  </si>
  <si>
    <t xml:space="preserve">hug charm bracelet</t>
  </si>
  <si>
    <t xml:space="preserve">forever and always heart necklace</t>
  </si>
  <si>
    <t xml:space="preserve">flower vase</t>
  </si>
  <si>
    <t xml:space="preserve">cami dress, beach shorts luggage cover, passport cover, luggage tag,... (chọn sp phù hợp theo hobbies chung)</t>
  </si>
  <si>
    <t xml:space="preserve">CP Hobbies travel</t>
  </si>
  <si>
    <t xml:space="preserve">TOTAL</t>
  </si>
  <si>
    <t xml:space="preserve">Family Evergreen
</t>
  </si>
  <si>
    <t xml:space="preserve">tulip vase, flower vase</t>
  </si>
  <si>
    <t xml:space="preserve">
bestie (all concept senti, 3D, funny, clipart)</t>
  </si>
  <si>
    <t xml:space="preserve">                                                                                                                                            </t>
  </si>
  <si>
    <t xml:space="preserve">garden solar light</t>
  </si>
  <si>
    <t xml:space="preserve">Memorial</t>
  </si>
  <si>
    <t xml:space="preserve">Mug, envelope wallet</t>
  </si>
  <si>
    <t xml:space="preserve">
bestie (senti, 3D)</t>
  </si>
  <si>
    <t xml:space="preserve">passport cover, luggage cover, cami dress</t>
  </si>
  <si>
    <t xml:space="preserve">Bestie Travel (all concept senti, 3D, funny, clipart)</t>
  </si>
  <si>
    <t xml:space="preserve">Axon
</t>
  </si>
  <si>
    <t xml:space="preserve"> Inner neck, mug </t>
  </si>
  <si>
    <t xml:space="preserve">Axon family: (to son, daughter, grandson, granddaughter): Inner neck, mug (all concept senti, 3D, funny, clipart)
các idea senti new idea có thể để fb ads để chạy cả fb, các concept khác fb k bán đc thì để axon</t>
  </si>
  <si>
    <t xml:space="preserve">các thẻ để axon mà dạng idea clone nhanh đc có thể lm nhiều hơn plan, còn nên đảm bảo slg new idea theo plan để mở rộng cho Axon</t>
  </si>
  <si>
    <t xml:space="preserve">Pocket Hug, envelope wallet</t>
  </si>
  <si>
    <t xml:space="preserve">for family (to son, daughter, grandson, granddaughter), (Only Senti chữ không)</t>
  </si>
  <si>
    <t xml:space="preserve">Mug, Suncatcher, metal sign</t>
  </si>
  <si>
    <t xml:space="preserve">for couple evergreen
(clipart, convert art...mấy concept các bên vít đc mà fb k bán đc)</t>
  </si>
  <si>
    <t xml:space="preserve"> Mug, tulip vase</t>
  </si>
  <si>
    <t xml:space="preserve">
Bestie (clone cả cái đối thủ đang vít, clipart...mấy concept các bên vít đc mà fb k bán đc)</t>
  </si>
  <si>
    <t xml:space="preserve">.</t>
  </si>
  <si>
    <t xml:space="preserve">All Line</t>
  </si>
  <si>
    <t xml:space="preserve">Bích</t>
  </si>
  <si>
    <t xml:space="preserve">1 human</t>
  </si>
  <si>
    <t xml:space="preserve">urgent/high</t>
  </si>
  <si>
    <t xml:space="preserve">
Reaction</t>
  </si>
  <si>
    <t xml:space="preserve">AOP T-shirt, hawaiin shirt, beach short</t>
  </si>
  <si>
    <t xml:space="preserve">inside out funny trend, garden</t>
  </si>
  <si>
    <t xml:space="preserve">Idea Creator</t>
  </si>
  <si>
    <t xml:space="preserve">Idea created</t>
  </si>
  <si>
    <t xml:space="preserve">Huyền</t>
  </si>
  <si>
    <t xml:space="preserve">Linh</t>
  </si>
  <si>
    <t xml:space="preserve">Tùng</t>
  </si>
  <si>
    <t xml:space="preserve">Bích </t>
  </si>
  <si>
    <t xml:space="preserve">Kim Ngân</t>
  </si>
  <si>
    <t xml:space="preserve">Mai</t>
  </si>
  <si>
    <t xml:space="preserve">Thúy</t>
  </si>
  <si>
    <t xml:space="preserve">Phương Ngân</t>
  </si>
  <si>
    <t xml:space="preserve">Total New Idea</t>
  </si>
  <si>
    <t xml:space="preserve">JS</t>
  </si>
  <si>
    <t xml:space="preserve">FC</t>
  </si>
  <si>
    <t xml:space="preserve">SB</t>
  </si>
  <si>
    <t xml:space="preserve">BW</t>
  </si>
  <si>
    <t xml:space="preserve">JM</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</si>
  <si>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</si>
  <si>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</si>
  <si>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</si>
  <si>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</si>
  <si>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</si>
  <si>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</si>
  <si>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</si>
  <si>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</si>
  <si>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KID Evergreen
(tuần nào cũng phải làm)
(crossing suncatcher BW và SB) </t>
  </si>
  <si>
    <t xml:space="preserve">
Acessories
Apparel</t>
  </si>
  <si>
    <t xml:space="preserve">Kid swimsuit set (crossing SB )</t>
  </si>
  <si>
    <t xml:space="preserve">For kids evergreen, summer</t>
  </si>
  <si>
    <t xml:space="preserve">Hoa</t>
  </si>
  <si>
    <t xml:space="preserve">Back to school
(crossing SB, BW)
</t>
  </si>
  <si>
    <t xml:space="preserve">Accessories
apparel
decor</t>
  </si>
  <si>
    <t xml:space="preserve">kid's school Backpack</t>
  </si>
  <si>
    <t xml:space="preserve">for kids (sp mới 1 mặt liền nhau idea 3D)</t>
  </si>
  <si>
    <t xml:space="preserve">Thúy</t>
  </si>
  <si>
    <t xml:space="preserve">duckbilled backpack</t>
  </si>
  <si>
    <t xml:space="preserve">for teacher</t>
  </si>
  <si>
    <t xml:space="preserve">banner, mug</t>
  </si>
  <si>
    <t xml:space="preserve">puzzle brick pen holder</t>
  </si>
  <si>
    <t xml:space="preserve">for kids</t>
  </si>
  <si>
    <t xml:space="preserve">Custom Book (Hard Cover)</t>
  </si>
  <si>
    <t xml:space="preserve">Total</t>
  </si>
  <si>
    <t xml:space="preserve">Anniversary/Wedding
</t>
  </si>
  <si>
    <t xml:space="preserve">All type</t>
  </si>
  <si>
    <t xml:space="preserve">plaque, suncatcher, wooden doorsign</t>
  </si>
  <si>
    <t xml:space="preserve">CP 3D general (thể hiện rõ anniversary)</t>
  </si>
  <si>
    <t xml:space="preserve">hawaiin shirt/ beach shorts/cami maxi</t>
  </si>
  <si>
    <t xml:space="preserve">Funny, Bậy (react trend inside out của PH)
</t>
  </si>
  <si>
    <t xml:space="preserve">squishy magnet</t>
  </si>
  <si>
    <t xml:space="preserve">Phương</t>
  </si>
  <si>
    <t xml:space="preserve">T-shirt</t>
  </si>
  <si>
    <t xml:space="preserve">woman's brief</t>
  </si>
  <si>
    <t xml:space="preserve">Inner neck</t>
  </si>
  <si>
    <t xml:space="preserve">to my wife</t>
  </si>
  <si>
    <t xml:space="preserve">pocket hug</t>
  </si>
  <si>
    <t xml:space="preserve">bracelet with birth stone</t>
  </si>
  <si>
    <t xml:space="preserve">forever and always heart necklace</t>
  </si>
  <si>
    <t xml:space="preserve">hug charm bracelet</t>
  </si>
  <si>
    <t xml:space="preserve">tumbler</t>
  </si>
  <si>
    <t xml:space="preserve"> cami dress, luggage cover, passport cover, luggage tag,.... (chọn sp phù hợp theo hobbies chung)</t>
  </si>
  <si>
    <t xml:space="preserve">CP Hobbies travel</t>
  </si>
  <si>
    <t xml:space="preserve">TOTAL</t>
  </si>
  <si>
    <t xml:space="preserve">Family Evergreen
</t>
  </si>
  <si>
    <t xml:space="preserve">Kaftan dress </t>
  </si>
  <si>
    <t xml:space="preserve">
grandma/mom</t>
  </si>
  <si>
    <t xml:space="preserve">2 cái bên SB nữa ạ nếu số ổn thì em scale sang</t>
  </si>
  <si>
    <t xml:space="preserve">Wood Sign, doormat</t>
  </si>
  <si>
    <t xml:space="preserve">family, grandma grandpa</t>
  </si>
  <si>
    <t xml:space="preserve">inner/mug/pocket hug </t>
  </si>
  <si>
    <t xml:space="preserve">
daughter/son ( sentimental )</t>
  </si>
  <si>
    <t xml:space="preserve">car visor, memo urn, candle warmer lamp</t>
  </si>
  <si>
    <t xml:space="preserve">Memorial</t>
  </si>
  <si>
    <t xml:space="preserve"> (focus): Mug, wine glass, tulip vase, envelope wallet, passport cover, luggage corver, cami dress (all concept senti, 3D, funny, clipart), focus mấy mug puffy toàn chữ</t>
  </si>
  <si>
    <t xml:space="preserve">Bestie</t>
  </si>
  <si>
    <t xml:space="preserve">Axon
</t>
  </si>
  <si>
    <t xml:space="preserve"> Inner neck, mug </t>
  </si>
  <si>
    <t xml:space="preserve">Axon family: (to son, daughter, grandson, granddaughter): Inner neck, mug (all concept senti, 3D, funny, clipart)
các idea senti new idea có thể để fb ads để chạy cả fb, các concept khác fb k bán đc thì để axon</t>
  </si>
  <si>
    <t xml:space="preserve">các thẻ để axon mà dạng idea clone nhanh đc có thể lm nhiều hơn plan, còn nên đảm bảo slg new idea theo plan để mở rộng cho Axon</t>
  </si>
  <si>
    <t xml:space="preserve">Pocket Hug, envelope wallet</t>
  </si>
  <si>
    <t xml:space="preserve">for family (to son, daughter, grandson, granddaughter), (Only Senti chữ không)</t>
  </si>
  <si>
    <t xml:space="preserve">Mug, Suncatcher, metal sign</t>
  </si>
  <si>
    <t xml:space="preserve">for couple evergreen
(clipart, convert art...mấy concept các bên vít đc mà fb k bán đc)
lưu ý mấy mug chữ k, tính slot vào axon</t>
  </si>
  <si>
    <t xml:space="preserve"> Mug, tulip vase</t>
  </si>
  <si>
    <t xml:space="preserve">
Bestie (clone cả cái đối thủ đang vít, clipart...mấy concept các bên vít đc mà fb k bán đc)</t>
  </si>
  <si>
    <t xml:space="preserve">.</t>
  </si>
  <si>
    <t xml:space="preserve">All Line</t>
  </si>
  <si>
    <t xml:space="preserve">Ngân</t>
  </si>
  <si>
    <t xml:space="preserve">Bích</t>
  </si>
  <si>
    <t xml:space="preserve">1 human</t>
  </si>
  <si>
    <t xml:space="preserve">urgent/high</t>
  </si>
  <si>
    <t xml:space="preserve">
Reaction</t>
  </si>
  <si>
    <t xml:space="preserve">AOP T-shirt, hawaiin shirt, beach short</t>
  </si>
  <si>
    <t xml:space="preserve">inside out funny trend
chuyển qua hướng family, hobbies, bestie</t>
  </si>
  <si>
    <t xml:space="preserve">Idea Creator</t>
  </si>
  <si>
    <t xml:space="preserve">Idea created</t>
  </si>
  <si>
    <t xml:space="preserve">Huyền</t>
  </si>
  <si>
    <t xml:space="preserve">Linh</t>
  </si>
  <si>
    <t xml:space="preserve">Tùng</t>
  </si>
  <si>
    <t xml:space="preserve">Bích </t>
  </si>
  <si>
    <t xml:space="preserve">Kim Ngân</t>
  </si>
  <si>
    <t xml:space="preserve">Mai</t>
  </si>
  <si>
    <t xml:space="preserve">Thúy</t>
  </si>
  <si>
    <t xml:space="preserve">Phương Ngân</t>
  </si>
  <si>
    <t xml:space="preserve">Total New Idea</t>
  </si>
  <si>
    <t xml:space="preserve">JS</t>
  </si>
  <si>
    <t xml:space="preserve">FC</t>
  </si>
  <si>
    <t xml:space="preserve">SB</t>
  </si>
  <si>
    <t xml:space="preserve">BW</t>
  </si>
  <si>
    <t xml:space="preserve">JM</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</si>
  <si>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</si>
  <si>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</si>
  <si>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</si>
  <si>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</si>
  <si>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</si>
  <si>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</si>
  <si>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</si>
  <si>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</si>
  <si>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Back to school
(crossing SB)
</t>
  </si>
  <si>
    <t xml:space="preserve">Accessories
apparel
decor</t>
  </si>
  <si>
    <t xml:space="preserve">Custom Book (Hard Cover), tracing board</t>
  </si>
  <si>
    <t xml:space="preserve">for kids</t>
  </si>
  <si>
    <t xml:space="preserve">Thúy</t>
  </si>
  <si>
    <t xml:space="preserve">ID card holder (sp mới chưa mockup)</t>
  </si>
  <si>
    <t xml:space="preserve">for teacher</t>
  </si>
  <si>
    <t xml:space="preserve">Hoa</t>
  </si>
  <si>
    <t xml:space="preserve">new product chờ MK</t>
  </si>
  <si>
    <t xml:space="preserve">Total</t>
  </si>
  <si>
    <t xml:space="preserve">Anniversary/Wedding
</t>
  </si>
  <si>
    <t xml:space="preserve">All type</t>
  </si>
  <si>
    <t xml:space="preserve">plaque, suncatcher, wooden doorsign</t>
  </si>
  <si>
    <t xml:space="preserve">CP 3D general (thể hiện rõ anniversary)</t>
  </si>
  <si>
    <t xml:space="preserve">Phương</t>
  </si>
  <si>
    <t xml:space="preserve">hawaiin shirt/ beach shorts</t>
  </si>
  <si>
    <t xml:space="preserve">Funny, Bậy (react trend inside out của PH)
react trend inside out PH cho couple</t>
  </si>
  <si>
    <t xml:space="preserve">short leggings</t>
  </si>
  <si>
    <t xml:space="preserve">T-shirt</t>
  </si>
  <si>
    <t xml:space="preserve">car accessories (chú ý mấy cái squishy)</t>
  </si>
  <si>
    <t xml:space="preserve">Inner neck</t>
  </si>
  <si>
    <t xml:space="preserve">Sentimental</t>
  </si>
  <si>
    <t xml:space="preserve">pocket hug</t>
  </si>
  <si>
    <t xml:space="preserve">mug</t>
  </si>
  <si>
    <t xml:space="preserve">pen holder with clock</t>
  </si>
  <si>
    <t xml:space="preserve">night light (sp mới chưa có mockup)</t>
  </si>
  <si>
    <t xml:space="preserve">
cami dress, luggage cover, passport cover, luggage tag,... - travel và react trend inside out + hobbies PH cho couple</t>
  </si>
  <si>
    <t xml:space="preserve">travel và react trend inside out + hobbies PH cho couple</t>
  </si>
  <si>
    <t xml:space="preserve">TOTAL</t>
  </si>
  <si>
    <t xml:space="preserve">Evergreen
</t>
  </si>
  <si>
    <t xml:space="preserve">Kaftan dress </t>
  </si>
  <si>
    <t xml:space="preserve">
grandma/mom</t>
  </si>
  <si>
    <t xml:space="preserve">Wood Sign, doormat</t>
  </si>
  <si>
    <t xml:space="preserve">family, grandma grandpa</t>
  </si>
  <si>
    <t xml:space="preserve">inner/mug/pocket hug </t>
  </si>
  <si>
    <t xml:space="preserve">daughter/son ( sentimental )</t>
  </si>
  <si>
    <t xml:space="preserve">car visor, garden light (sp mới)</t>
  </si>
  <si>
    <t xml:space="preserve">Memorial</t>
  </si>
  <si>
    <t xml:space="preserve">passport cover, luggage corver, cami dress</t>
  </si>
  <si>
    <t xml:space="preserve">Bestie (travel)</t>
  </si>
  <si>
    <t xml:space="preserve">Thi</t>
  </si>
  <si>
    <t xml:space="preserve">beach bag, beach short, T-shirt</t>
  </si>
  <si>
    <t xml:space="preserve">Bestie (travel và trend inside out bên PH)</t>
  </si>
  <si>
    <t xml:space="preserve">Axon
</t>
  </si>
  <si>
    <t xml:space="preserve"> Inner neck, mug, Pocket Hug, envelope wallet</t>
  </si>
  <si>
    <t xml:space="preserve">Axon family: (to son, daughter, grandson, granddaughter): Inner neck, mug (all concept senti, 3D, funny, clipart)</t>
  </si>
  <si>
    <t xml:space="preserve">các thẻ để axon mà dạng idea clone nhanh đc có thể lm nhiều hơn plan, còn nên đảm bảo slg new idea theo plan để mở rộng cho Axon</t>
  </si>
  <si>
    <t xml:space="preserve">for family (to son, daughter, grandson, granddaughter), (Only Senti chữ không)</t>
  </si>
  <si>
    <t xml:space="preserve">Mug, Suncatcher, metal sign</t>
  </si>
  <si>
    <t xml:space="preserve">for couple evergreen
(clipart, mug chữ không)</t>
  </si>
  <si>
    <t xml:space="preserve"> Mug, tulip vase</t>
  </si>
  <si>
    <t xml:space="preserve">Bestie (clone cả cái đối thủ đang vít, focus clipart)</t>
  </si>
  <si>
    <t xml:space="preserve">
Reaction</t>
  </si>
  <si>
    <t xml:space="preserve">apparel</t>
  </si>
  <si>
    <t xml:space="preserve">AOP T-shirt
</t>
  </si>
  <si>
    <t xml:space="preserve">inside out funny trend
chuyển qua hướng kết hợp hobbies và jobs
Wedding, 1st christmas couple, baby announcement</t>
  </si>
  <si>
    <t xml:space="preserve">Huyền</t>
  </si>
  <si>
    <t xml:space="preserve">hawaiin shirt
</t>
  </si>
  <si>
    <t xml:space="preserve">beach short
</t>
  </si>
  <si>
    <t xml:space="preserve">Ornament</t>
  </si>
  <si>
    <t xml:space="preserve">onesie</t>
  </si>
  <si>
    <t xml:space="preserve">stuffed elephant</t>
  </si>
  <si>
    <t xml:space="preserve">Idea Creator</t>
  </si>
  <si>
    <t xml:space="preserve">Idea created</t>
  </si>
  <si>
    <t xml:space="preserve">Linh</t>
  </si>
  <si>
    <t xml:space="preserve">Tùng</t>
  </si>
  <si>
    <t xml:space="preserve">Bích </t>
  </si>
  <si>
    <t xml:space="preserve">Kim Ngân</t>
  </si>
  <si>
    <t xml:space="preserve">Mai</t>
  </si>
  <si>
    <t xml:space="preserve">Thúy</t>
  </si>
  <si>
    <t xml:space="preserve">Phương Ngân</t>
  </si>
  <si>
    <t xml:space="preserve">Total New Idea</t>
  </si>
  <si>
    <t xml:space="preserve">JS</t>
  </si>
  <si>
    <t xml:space="preserve">Ngân</t>
  </si>
  <si>
    <t xml:space="preserve">FC</t>
  </si>
  <si>
    <t xml:space="preserve">SB</t>
  </si>
  <si>
    <t xml:space="preserve">BW</t>
  </si>
  <si>
    <t xml:space="preserve">JM</t>
  </si>
  <si>
    <t xml:space="preserve">Product Type</t>
  </si>
  <si>
    <t xml:space="preserve">Product</t>
  </si>
  <si>
    <t xml:space="preserve">Niche/Idea Direction</t>
  </si>
  <si>
    <t xml:space="preserve">Idea Quantity</t>
  </si>
  <si>
    <t xml:space="preserve">PIC</t>
  </si>
  <si>
    <t xml:space="preserve">Created (Ideas In Design step)</t>
  </si>
  <si>
    <t xml:space="preserve">Pending</t>
  </si>
  <si>
    <t xml:space="preserve">Note</t>
  </si>
  <si>
    <t xml:space="preserve">Back to school teacher + kid
(crossing SB)
Teacher crossing từ SB qua
thử trend stripe</t>
  </si>
  <si>
    <t xml:space="preserve">Accessories
apparel
decor</t>
  </si>
  <si>
    <t xml:space="preserve">Custom Book (Hard Cover)</t>
  </si>
  <si>
    <t xml:space="preserve">for kids</t>
  </si>
  <si>
    <t xml:space="preserve">Thúy</t>
  </si>
  <si>
    <t xml:space="preserve">Trả nợ</t>
  </si>
  <si>
    <t xml:space="preserve">Tracing Board </t>
  </si>
  <si>
    <t xml:space="preserve">Hoa</t>
  </si>
  <si>
    <t xml:space="preserve">Thúy 1</t>
  </si>
  <si>
    <t xml:space="preserve">Backpack (cả cũ và mới)</t>
  </si>
  <si>
    <t xml:space="preserve">for kids, thử trend stripe</t>
  </si>
  <si>
    <t xml:space="preserve">Thi</t>
  </si>
  <si>
    <t xml:space="preserve">Total</t>
  </si>
  <si>
    <t xml:space="preserve">Anniversary/Wedding</t>
  </si>
  <si>
    <t xml:space="preserve">All Type</t>
  </si>
  <si>
    <t xml:space="preserve">Inner neck</t>
  </si>
  <si>
    <t xml:space="preserve">Anniversary: 
-sentimental:to my wife, to my husband lm tỷ lệ đều nhau
đa dạng concept + sentimental (thuần quote, 3D + senti, convert art + senti)
tìm quote mới, trend</t>
  </si>
  <si>
    <t xml:space="preserve">coffee mug</t>
  </si>
  <si>
    <t xml:space="preserve">printed rock</t>
  </si>
  <si>
    <t xml:space="preserve">night light</t>
  </si>
  <si>
    <t xml:space="preserve">TOTAL</t>
  </si>
  <si>
    <t xml:space="preserve">Family 
Evergreen
</t>
  </si>
  <si>
    <t xml:space="preserve">All type</t>
  </si>
  <si>
    <t xml:space="preserve">
for family, To son, daughter, grandson, granddaughter sentimental
đa dạng concept + sentimental (thuần quote, 3D + senti, convert art + senti)
tìm quote mới, trend</t>
  </si>
  <si>
    <t xml:space="preserve">cuff bracelet</t>
  </si>
  <si>
    <t xml:space="preserve">Hoa 1</t>
  </si>
  <si>
    <t xml:space="preserve">Mug/tumbler</t>
  </si>
  <si>
    <t xml:space="preserve">for bestie sentimental (đa dạng concept + sentimental (thuần quote, 3D + senti, convert art + senti)
tìm quote mới, trend)</t>
  </si>
  <si>
    <t xml:space="preserve">Tulip vase</t>
  </si>
  <si>
    <t xml:space="preserve">jewelry dish</t>
  </si>
  <si>
    <t xml:space="preserve">flower vase</t>
  </si>
  <si>
    <t xml:space="preserve">Axon
</t>
  </si>
  <si>
    <t xml:space="preserve"> Inner neck</t>
  </si>
  <si>
    <t xml:space="preserve">Axon family: (to son, daughter, grandson, granddaughter)</t>
  </si>
  <si>
    <t xml:space="preserve">Phương</t>
  </si>
  <si>
    <t xml:space="preserve"> mug</t>
  </si>
  <si>
    <t xml:space="preserve"> Axon family: all concept senti, 3D, funny, clipart</t>
  </si>
  <si>
    <t xml:space="preserve">Pocket Hug, envelope wallet </t>
  </si>
  <si>
    <t xml:space="preserve"> Axon family: Only Senti chữ không</t>
  </si>
  <si>
    <t xml:space="preserve">Mug</t>
  </si>
  <si>
    <t xml:space="preserve">Axon Couple: clipart</t>
  </si>
  <si>
    <t xml:space="preserve">Suncatcher</t>
  </si>
  <si>
    <t xml:space="preserve">metal sign</t>
  </si>
  <si>
    <t xml:space="preserve"> Mug, tulip vase</t>
  </si>
  <si>
    <t xml:space="preserve">Axon Bestie (clone cả cái đối thủ đang vít, focus clipart)</t>
  </si>
  <si>
    <t xml:space="preserve">
Reaction</t>
  </si>
  <si>
    <t xml:space="preserve">apparel</t>
  </si>
  <si>
    <t xml:space="preserve">AOP T-shirt
</t>
  </si>
  <si>
    <t xml:space="preserve">inside out funny trend
Wedding, 1st christmas couple, baby announcement</t>
  </si>
  <si>
    <t xml:space="preserve">hawaiin shirt
</t>
  </si>
  <si>
    <t xml:space="preserve">beach short
</t>
  </si>
  <si>
    <t xml:space="preserve">Ornament Wedding</t>
  </si>
  <si>
    <t xml:space="preserve">urgent</t>
  </si>
  <si>
    <t xml:space="preserve">Ornament baby announcement</t>
  </si>
  <si>
    <t xml:space="preserve">Idea Creator</t>
  </si>
  <si>
    <t xml:space="preserve">Idea created</t>
  </si>
  <si>
    <t xml:space="preserve">Huyền</t>
  </si>
  <si>
    <t xml:space="preserve">Linh</t>
  </si>
  <si>
    <t xml:space="preserve">Tùng</t>
  </si>
  <si>
    <t xml:space="preserve">Bích </t>
  </si>
  <si>
    <t xml:space="preserve">Kim Ngân</t>
  </si>
  <si>
    <t xml:space="preserve">Mai</t>
  </si>
  <si>
    <t xml:space="preserve">Thúy</t>
  </si>
  <si>
    <t xml:space="preserve">Phương Ngân</t>
  </si>
  <si>
    <t xml:space="preserve">Total New Idea</t>
  </si>
  <si>
    <t xml:space="preserve">JS</t>
  </si>
  <si>
    <t xml:space="preserve">Ngân</t>
  </si>
  <si>
    <t xml:space="preserve">FC</t>
  </si>
  <si>
    <t xml:space="preserve">SB</t>
  </si>
  <si>
    <t xml:space="preserve">BW</t>
  </si>
  <si>
    <t xml:space="preserve">JM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</si>
</sst>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8">
    <numFmt numFmtId="164" formatCode="0"/>
    <numFmt numFmtId="165" formatCode="0"/>
    <numFmt numFmtId="166" formatCode="0"/>
    <numFmt numFmtId="167" formatCode="0"/>
    <numFmt numFmtId="168" formatCode="0"/>
    <numFmt numFmtId="169" formatCode="0"/>
    <numFmt numFmtId="170" formatCode="0"/>
    <numFmt numFmtId="171" formatCode="0"/>
    <numFmt numFmtId="172" formatCode="0"/>
    <numFmt numFmtId="173" formatCode="0"/>
    <numFmt numFmtId="174" formatCode="0"/>
    <numFmt numFmtId="175" formatCode="0"/>
    <numFmt numFmtId="176" formatCode="0"/>
    <numFmt numFmtId="177" formatCode="0"/>
    <numFmt numFmtId="178" formatCode="0"/>
    <numFmt numFmtId="179" formatCode="0"/>
    <numFmt numFmtId="180" formatCode="0"/>
    <numFmt numFmtId="181" formatCode="0"/>
    <numFmt numFmtId="182" formatCode="0"/>
    <numFmt numFmtId="183" formatCode="0"/>
    <numFmt numFmtId="184" formatCode="0"/>
    <numFmt numFmtId="185" formatCode="0"/>
    <numFmt numFmtId="186" formatCode="0"/>
    <numFmt numFmtId="187" formatCode="0"/>
    <numFmt numFmtId="188" formatCode="0"/>
    <numFmt numFmtId="189" formatCode="0"/>
    <numFmt numFmtId="190" formatCode="0"/>
    <numFmt numFmtId="191" formatCode="0"/>
  </numFmts>
  <fonts count="8">
    <font>
      <sz val="12"/>
      <color theme="1"/>
      <name val="Calibri"/>
      <family val="2"/>
      <scheme val="minor"/>
    </font>
    <font>
      <b val="true"/>
      <sz val="12"/>
      <color rgb="FF000000"/>
      <name val="Calibri"/>
      <family val="2"/>
      <scheme val="minor"/>
    </font>
    <font>
      <sz val="10"/>
      <color rgb="FF000000"/>
      <name val="Calibri"/>
      <family val="2"/>
      <scheme val="minor"/>
    </font>
    <font>
      <b val="true"/>
      <sz val="10"/>
      <color rgb="FF000000"/>
      <name val="Calibri"/>
      <family val="2"/>
      <scheme val="minor"/>
    </font>
    <font>
      <sz val="10"/>
      <color rgb="FF000000"/>
      <name val="Calibri"/>
      <family val="2"/>
      <scheme val="minor"/>
    </font>
    <font>
      <b val="true"/>
      <sz val="10"/>
      <color rgb="FF000000"/>
      <name val="Calibri"/>
      <family val="2"/>
      <scheme val="minor"/>
    </font>
    <font>
      <sz val="10"/>
      <color rgb="FF1F2329"/>
      <name val="Calibri"/>
      <family val="2"/>
      <scheme val="minor"/>
    </font>
    <font>
      <b val="true"/>
      <sz val="10"/>
      <color rgb="FF1F2329"/>
      <name val="Calibri"/>
      <family val="2"/>
      <scheme val="minor"/>
    </font>
  </fonts>
  <fills count="265">
    <fill>
      <patternFill patternType="none">
        <fgColor/>
        <bgColor/>
      </patternFill>
    </fill>
    <fill>
      <patternFill patternType="gray125">
        <fgColor/>
        <bgColor/>
      </patternFill>
    </fill>
    <fill>
      <patternFill patternType="solid">
        <fgColor rgb="FFFAF1D1"/>
        <bgColor/>
      </patternFill>
    </fill>
    <fill>
      <patternFill patternType="solid">
        <fgColor rgb="FFEEF6C6"/>
        <bgColor/>
      </patternFill>
    </fill>
    <fill>
      <patternFill patternType="solid">
        <fgColor rgb="FFFDDDEF"/>
        <bgColor/>
      </patternFill>
    </fill>
    <fill>
      <patternFill patternType="solid">
        <fgColor rgb="FFFED4A4"/>
        <bgColor/>
      </patternFill>
    </fill>
    <fill>
      <patternFill patternType="solid">
        <fgColor rgb="FFD9F3FD"/>
        <bgColor/>
      </patternFill>
    </fill>
    <fill>
      <patternFill patternType="solid">
        <fgColor rgb="FFECE2FE"/>
        <bgColor/>
      </patternFill>
    </fill>
    <fill>
      <patternFill patternType="solid">
        <fgColor rgb="FFD5F6F2"/>
        <bgColor/>
      </patternFill>
    </fill>
    <fill>
      <patternFill patternType="solid">
        <fgColor rgb="FFE1EAFF"/>
        <bgColor/>
      </patternFill>
    </fill>
    <fill>
      <patternFill patternType="solid">
        <fgColor rgb="FFFFF258"/>
        <bgColor/>
      </patternFill>
    </fill>
    <fill>
      <patternFill patternType="solid">
        <fgColor rgb="FFFAF1D1"/>
        <bgColor/>
      </patternFill>
    </fill>
    <fill>
      <patternFill patternType="solid">
        <fgColor rgb="FFEEF6C6"/>
        <bgColor/>
      </patternFill>
    </fill>
    <fill>
      <patternFill patternType="solid">
        <fgColor rgb="FFFDDDEF"/>
        <bgColor/>
      </patternFill>
    </fill>
    <fill>
      <patternFill patternType="solid">
        <fgColor rgb="FFFED4A4"/>
        <bgColor/>
      </patternFill>
    </fill>
    <fill>
      <patternFill patternType="solid">
        <fgColor rgb="FFD9F3FD"/>
        <bgColor/>
      </patternFill>
    </fill>
    <fill>
      <patternFill patternType="solid">
        <fgColor rgb="FFECE2FE"/>
        <bgColor/>
      </patternFill>
    </fill>
    <fill>
      <patternFill patternType="solid">
        <fgColor rgb="FFE1EAFF"/>
        <bgColor/>
      </patternFill>
    </fill>
    <fill>
      <patternFill patternType="solid">
        <fgColor rgb="FFFFF258"/>
        <bgColor/>
      </patternFill>
    </fill>
    <fill>
      <patternFill patternType="solid">
        <fgColor rgb="FFFAF1D1"/>
        <bgColor/>
      </patternFill>
    </fill>
    <fill>
      <patternFill patternType="solid">
        <fgColor rgb="FFEEF6C6"/>
        <bgColor/>
      </patternFill>
    </fill>
    <fill>
      <patternFill patternType="solid">
        <fgColor rgb="FFFDDDEF"/>
        <bgColor/>
      </patternFill>
    </fill>
    <fill>
      <patternFill patternType="solid">
        <fgColor rgb="FFD9F3FD"/>
        <bgColor/>
      </patternFill>
    </fill>
    <fill>
      <patternFill patternType="solid">
        <fgColor rgb="FFFED4A4"/>
        <bgColor/>
      </patternFill>
    </fill>
    <fill>
      <patternFill patternType="solid">
        <fgColor rgb="FFECE2FE"/>
        <bgColor/>
      </patternFill>
    </fill>
    <fill>
      <patternFill patternType="solid">
        <fgColor rgb="FFE1EAFF"/>
        <bgColor/>
      </patternFill>
    </fill>
    <fill>
      <patternFill patternType="solid">
        <fgColor rgb="FFFFF258"/>
        <bgColor/>
      </patternFill>
    </fill>
    <fill>
      <patternFill patternType="solid">
        <fgColor rgb="FFFAF1D1"/>
        <bgColor/>
      </patternFill>
    </fill>
    <fill>
      <patternFill patternType="solid">
        <fgColor rgb="FFEEF6C6"/>
        <bgColor/>
      </patternFill>
    </fill>
    <fill>
      <patternFill patternType="solid">
        <fgColor rgb="FFFDDDEF"/>
        <bgColor/>
      </patternFill>
    </fill>
    <fill>
      <patternFill patternType="solid">
        <fgColor rgb="FFD9F3FD"/>
        <bgColor/>
      </patternFill>
    </fill>
    <fill>
      <patternFill patternType="solid">
        <fgColor rgb="FFFED4A4"/>
        <bgColor/>
      </patternFill>
    </fill>
    <fill>
      <patternFill patternType="solid">
        <fgColor rgb="FFECE2FE"/>
        <bgColor/>
      </patternFill>
    </fill>
    <fill>
      <patternFill patternType="solid">
        <fgColor rgb="FFE1EAFF"/>
        <bgColor/>
      </patternFill>
    </fill>
    <fill>
      <patternFill patternType="solid">
        <fgColor rgb="FFFFF258"/>
        <bgColor/>
      </patternFill>
    </fill>
    <fill>
      <patternFill patternType="solid">
        <fgColor rgb="FFFAF1D1"/>
        <bgColor/>
      </patternFill>
    </fill>
    <fill>
      <patternFill patternType="solid">
        <fgColor rgb="FFEEF6C6"/>
        <bgColor/>
      </patternFill>
    </fill>
    <fill>
      <patternFill patternType="solid">
        <fgColor rgb="FFFDDDEF"/>
        <bgColor/>
      </patternFill>
    </fill>
    <fill>
      <patternFill patternType="solid">
        <fgColor rgb="FFD9F3FD"/>
        <bgColor/>
      </patternFill>
    </fill>
    <fill>
      <patternFill patternType="solid">
        <fgColor rgb="FFFED4A4"/>
        <bgColor/>
      </patternFill>
    </fill>
    <fill>
      <patternFill patternType="solid">
        <fgColor rgb="FFECE2FE"/>
        <bgColor/>
      </patternFill>
    </fill>
    <fill>
      <patternFill patternType="solid">
        <fgColor rgb="FFE1EAFF"/>
        <bgColor/>
      </patternFill>
    </fill>
    <fill>
      <patternFill patternType="solid">
        <fgColor rgb="FFFFF258"/>
        <bgColor/>
      </patternFill>
    </fill>
    <fill>
      <patternFill patternType="solid">
        <fgColor rgb="FFFAF1D1"/>
        <bgColor/>
      </patternFill>
    </fill>
    <fill>
      <patternFill patternType="solid">
        <fgColor rgb="FFEEF6C6"/>
        <bgColor/>
      </patternFill>
    </fill>
    <fill>
      <patternFill patternType="solid">
        <fgColor rgb="FFFFF258"/>
        <bgColor/>
      </patternFill>
    </fill>
    <fill>
      <patternFill patternType="solid">
        <fgColor rgb="FFD9F3FD"/>
        <bgColor/>
      </patternFill>
    </fill>
    <fill>
      <patternFill patternType="solid">
        <fgColor rgb="FFEEF6C6"/>
        <bgColor/>
      </patternFill>
    </fill>
    <fill>
      <patternFill patternType="solid">
        <fgColor rgb="FFECE2FE"/>
        <bgColor/>
      </patternFill>
    </fill>
    <fill>
      <patternFill patternType="solid">
        <fgColor rgb="FFFAF1D1"/>
        <bgColor/>
      </patternFill>
    </fill>
    <fill>
      <patternFill patternType="solid">
        <fgColor rgb="FFFDDDEF"/>
        <bgColor/>
      </patternFill>
    </fill>
    <fill>
      <patternFill patternType="solid">
        <fgColor rgb="FFD5F6F2"/>
        <bgColor/>
      </patternFill>
    </fill>
    <fill>
      <patternFill patternType="solid">
        <fgColor rgb="FFFFF258"/>
        <bgColor/>
      </patternFill>
    </fill>
    <fill>
      <patternFill patternType="solid">
        <fgColor rgb="FFD9F3FD"/>
        <bgColor/>
      </patternFill>
    </fill>
    <fill>
      <patternFill patternType="solid">
        <fgColor rgb="FFEEF6C6"/>
        <bgColor/>
      </patternFill>
    </fill>
    <fill>
      <patternFill patternType="solid">
        <fgColor rgb="FFECE2FE"/>
        <bgColor/>
      </patternFill>
    </fill>
    <fill>
      <patternFill patternType="solid">
        <fgColor rgb="FFFAF1D1"/>
        <bgColor/>
      </patternFill>
    </fill>
    <fill>
      <patternFill patternType="solid">
        <fgColor rgb="FFFDDDEF"/>
        <bgColor/>
      </patternFill>
    </fill>
    <fill>
      <patternFill patternType="solid">
        <fgColor rgb="FFD5F6F2"/>
        <bgColor/>
      </patternFill>
    </fill>
    <fill>
      <patternFill patternType="solid">
        <fgColor rgb="FFFFF258"/>
        <bgColor/>
      </patternFill>
    </fill>
    <fill>
      <patternFill patternType="solid">
        <fgColor rgb="FFFAF1D1"/>
        <bgColor/>
      </patternFill>
    </fill>
    <fill>
      <patternFill patternType="solid">
        <fgColor rgb="FFD9F3FD"/>
        <bgColor/>
      </patternFill>
    </fill>
    <fill>
      <patternFill patternType="solid">
        <fgColor rgb="FFFDDDEF"/>
        <bgColor/>
      </patternFill>
    </fill>
    <fill>
      <patternFill patternType="solid">
        <fgColor rgb="FFFFF258"/>
        <bgColor/>
      </patternFill>
    </fill>
    <fill>
      <patternFill patternType="solid">
        <fgColor rgb="FFEEF6C6"/>
        <bgColor/>
      </patternFill>
    </fill>
    <fill>
      <patternFill patternType="solid">
        <fgColor rgb="FFE1EAFF"/>
        <bgColor/>
      </patternFill>
    </fill>
    <fill>
      <patternFill patternType="solid">
        <fgColor rgb="FFECE2FE"/>
        <bgColor/>
      </patternFill>
    </fill>
    <fill>
      <patternFill patternType="solid">
        <fgColor rgb="FFD5F6F2"/>
        <bgColor/>
      </patternFill>
    </fill>
    <fill>
      <patternFill patternType="solid">
        <fgColor rgb="FFFED4A4"/>
        <bgColor/>
      </patternFill>
    </fill>
    <fill>
      <patternFill patternType="solid">
        <fgColor rgb="FFFAF1D1"/>
        <bgColor/>
      </patternFill>
    </fill>
    <fill>
      <patternFill patternType="solid">
        <fgColor rgb="FFD9F3FD"/>
        <bgColor/>
      </patternFill>
    </fill>
    <fill>
      <patternFill patternType="solid">
        <fgColor rgb="FFFFF258"/>
        <bgColor/>
      </patternFill>
    </fill>
    <fill>
      <patternFill patternType="solid">
        <fgColor rgb="FFEEF6C6"/>
        <bgColor/>
      </patternFill>
    </fill>
    <fill>
      <patternFill patternType="solid">
        <fgColor rgb="FFE1EAFF"/>
        <bgColor/>
      </patternFill>
    </fill>
    <fill>
      <patternFill patternType="solid">
        <fgColor rgb="FFFED4A4"/>
        <bgColor/>
      </patternFill>
    </fill>
    <fill>
      <patternFill patternType="solid">
        <fgColor rgb="FFFBBFBC"/>
        <bgColor/>
      </patternFill>
    </fill>
    <fill>
      <patternFill patternType="solid">
        <fgColor rgb="FFECE2FE"/>
        <bgColor/>
      </patternFill>
    </fill>
    <fill>
      <patternFill patternType="solid">
        <fgColor rgb="FFFDDDEF"/>
        <bgColor/>
      </patternFill>
    </fill>
    <fill>
      <patternFill patternType="solid">
        <fgColor rgb="FFD5F6F2"/>
        <bgColor/>
      </patternFill>
    </fill>
    <fill>
      <patternFill patternType="solid">
        <fgColor rgb="FFD9F5D6"/>
        <bgColor/>
      </patternFill>
    </fill>
    <fill>
      <patternFill patternType="solid">
        <fgColor rgb="FFFAF1D1"/>
        <bgColor/>
      </patternFill>
    </fill>
    <fill>
      <patternFill patternType="solid">
        <fgColor rgb="FFD9F3FD"/>
        <bgColor/>
      </patternFill>
    </fill>
    <fill>
      <patternFill patternType="solid">
        <fgColor rgb="FFFFF258"/>
        <bgColor/>
      </patternFill>
    </fill>
    <fill>
      <patternFill patternType="solid">
        <fgColor rgb="FFEEF6C6"/>
        <bgColor/>
      </patternFill>
    </fill>
    <fill>
      <patternFill patternType="solid">
        <fgColor rgb="FFFBBFBC"/>
        <bgColor/>
      </patternFill>
    </fill>
    <fill>
      <patternFill patternType="solid">
        <fgColor rgb="FFECE2FE"/>
        <bgColor/>
      </patternFill>
    </fill>
    <fill>
      <patternFill patternType="solid">
        <fgColor rgb="FFFDDDEF"/>
        <bgColor/>
      </patternFill>
    </fill>
    <fill>
      <patternFill patternType="solid">
        <fgColor rgb="FFD5F6F2"/>
        <bgColor/>
      </patternFill>
    </fill>
    <fill>
      <patternFill patternType="solid">
        <fgColor rgb="FFE1EAFF"/>
        <bgColor/>
      </patternFill>
    </fill>
    <fill>
      <patternFill patternType="solid">
        <fgColor rgb="FFFED4A4"/>
        <bgColor/>
      </patternFill>
    </fill>
    <fill>
      <patternFill patternType="solid">
        <fgColor rgb="FFFAF1D1"/>
        <bgColor/>
      </patternFill>
    </fill>
    <fill>
      <patternFill patternType="solid">
        <fgColor rgb="FFD9F3FD"/>
        <bgColor/>
      </patternFill>
    </fill>
    <fill>
      <patternFill patternType="solid">
        <fgColor rgb="FFFFF258"/>
        <bgColor/>
      </patternFill>
    </fill>
    <fill>
      <patternFill patternType="solid">
        <fgColor rgb="FFEEF6C6"/>
        <bgColor/>
      </patternFill>
    </fill>
    <fill>
      <patternFill patternType="solid">
        <fgColor rgb="FFFBBFBC"/>
        <bgColor/>
      </patternFill>
    </fill>
    <fill>
      <patternFill patternType="solid">
        <fgColor rgb="FFECE2FE"/>
        <bgColor/>
      </patternFill>
    </fill>
    <fill>
      <patternFill patternType="solid">
        <fgColor rgb="FFFDDDEF"/>
        <bgColor/>
      </patternFill>
    </fill>
    <fill>
      <patternFill patternType="solid">
        <fgColor rgb="FFD5F6F2"/>
        <bgColor/>
      </patternFill>
    </fill>
    <fill>
      <patternFill patternType="solid">
        <fgColor rgb="FFE1EAFF"/>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D9F3FD"/>
        <bgColor/>
      </patternFill>
    </fill>
    <fill>
      <patternFill patternType="solid">
        <fgColor rgb="FFFFF258"/>
        <bgColor/>
      </patternFill>
    </fill>
    <fill>
      <patternFill patternType="solid">
        <fgColor rgb="FFEEF6C6"/>
        <bgColor/>
      </patternFill>
    </fill>
    <fill>
      <patternFill patternType="solid">
        <fgColor rgb="FFFBBFBC"/>
        <bgColor/>
      </patternFill>
    </fill>
    <fill>
      <patternFill patternType="solid">
        <fgColor rgb="FFD5F6F2"/>
        <bgColor/>
      </patternFill>
    </fill>
    <fill>
      <patternFill patternType="solid">
        <fgColor rgb="FFFDDDEF"/>
        <bgColor/>
      </patternFill>
    </fill>
    <fill>
      <patternFill patternType="solid">
        <fgColor rgb="FFECE2FE"/>
        <bgColor/>
      </patternFill>
    </fill>
    <fill>
      <patternFill patternType="solid">
        <fgColor rgb="FFE1EAFF"/>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ECE2FE"/>
        <bgColor/>
      </patternFill>
    </fill>
    <fill>
      <patternFill patternType="solid">
        <fgColor rgb="FFFED4A4"/>
        <bgColor/>
      </patternFill>
    </fill>
    <fill>
      <patternFill patternType="solid">
        <fgColor rgb="FFFDDDEF"/>
        <bgColor/>
      </patternFill>
    </fill>
    <fill>
      <patternFill patternType="solid">
        <fgColor rgb="FFD5F6F2"/>
        <bgColor/>
      </patternFill>
    </fill>
    <fill>
      <patternFill patternType="solid">
        <fgColor rgb="FFE1EAFF"/>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ECE2FE"/>
        <bgColor/>
      </patternFill>
    </fill>
    <fill>
      <patternFill patternType="solid">
        <fgColor rgb="FFFED4A4"/>
        <bgColor/>
      </patternFill>
    </fill>
    <fill>
      <patternFill patternType="solid">
        <fgColor rgb="FFD5F6F2"/>
        <bgColor/>
      </patternFill>
    </fill>
    <fill>
      <patternFill patternType="solid">
        <fgColor rgb="FFE1EAFF"/>
        <bgColor/>
      </patternFill>
    </fill>
    <fill>
      <patternFill patternType="solid">
        <fgColor rgb="FFFDDDEF"/>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ECE2FE"/>
        <bgColor/>
      </patternFill>
    </fill>
    <fill>
      <patternFill patternType="solid">
        <fgColor rgb="FFFED4A4"/>
        <bgColor/>
      </patternFill>
    </fill>
    <fill>
      <patternFill patternType="solid">
        <fgColor rgb="FFD5F6F2"/>
        <bgColor/>
      </patternFill>
    </fill>
    <fill>
      <patternFill patternType="solid">
        <fgColor rgb="FFE1EAFF"/>
        <bgColor/>
      </patternFill>
    </fill>
    <fill>
      <patternFill patternType="solid">
        <fgColor rgb="FFFDDDEF"/>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ECE2FE"/>
        <bgColor/>
      </patternFill>
    </fill>
    <fill>
      <patternFill patternType="solid">
        <fgColor rgb="FFFED4A4"/>
        <bgColor/>
      </patternFill>
    </fill>
    <fill>
      <patternFill patternType="solid">
        <fgColor rgb="FFD5F6F2"/>
        <bgColor/>
      </patternFill>
    </fill>
    <fill>
      <patternFill patternType="solid">
        <fgColor rgb="FFE1EAFF"/>
        <bgColor/>
      </patternFill>
    </fill>
    <fill>
      <patternFill patternType="solid">
        <fgColor rgb="FFFBBFBC"/>
        <bgColor/>
      </patternFill>
    </fill>
    <fill>
      <patternFill patternType="solid">
        <fgColor rgb="FFFDDDEF"/>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ECE2FE"/>
        <bgColor/>
      </patternFill>
    </fill>
    <fill>
      <patternFill patternType="solid">
        <fgColor rgb="FFFED4A4"/>
        <bgColor/>
      </patternFill>
    </fill>
    <fill>
      <patternFill patternType="solid">
        <fgColor rgb="FFD5F6F2"/>
        <bgColor/>
      </patternFill>
    </fill>
    <fill>
      <patternFill patternType="solid">
        <fgColor rgb="FFE1EAFF"/>
        <bgColor/>
      </patternFill>
    </fill>
    <fill>
      <patternFill patternType="solid">
        <fgColor rgb="FFFBBFBC"/>
        <bgColor/>
      </patternFill>
    </fill>
    <fill>
      <patternFill patternType="solid">
        <fgColor rgb="FFFDDDEF"/>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ECE2FE"/>
        <bgColor/>
      </patternFill>
    </fill>
    <fill>
      <patternFill patternType="solid">
        <fgColor rgb="FFFED4A4"/>
        <bgColor/>
      </patternFill>
    </fill>
    <fill>
      <patternFill patternType="solid">
        <fgColor rgb="FFD5F6F2"/>
        <bgColor/>
      </patternFill>
    </fill>
    <fill>
      <patternFill patternType="solid">
        <fgColor rgb="FFE1EAFF"/>
        <bgColor/>
      </patternFill>
    </fill>
    <fill>
      <patternFill patternType="solid">
        <fgColor rgb="FFFBBFBC"/>
        <bgColor/>
      </patternFill>
    </fill>
    <fill>
      <patternFill patternType="solid">
        <fgColor rgb="FFFDDDEF"/>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ECE2FE"/>
        <bgColor/>
      </patternFill>
    </fill>
    <fill>
      <patternFill patternType="solid">
        <fgColor rgb="FFFED4A4"/>
        <bgColor/>
      </patternFill>
    </fill>
    <fill>
      <patternFill patternType="solid">
        <fgColor rgb="FFD5F6F2"/>
        <bgColor/>
      </patternFill>
    </fill>
    <fill>
      <patternFill patternType="solid">
        <fgColor rgb="FFE1EAFF"/>
        <bgColor/>
      </patternFill>
    </fill>
    <fill>
      <patternFill patternType="solid">
        <fgColor rgb="FFFBBFBC"/>
        <bgColor/>
      </patternFill>
    </fill>
    <fill>
      <patternFill patternType="solid">
        <fgColor rgb="FFFDDDEF"/>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ECE2FE"/>
        <bgColor/>
      </patternFill>
    </fill>
    <fill>
      <patternFill patternType="solid">
        <fgColor rgb="FFFED4A4"/>
        <bgColor/>
      </patternFill>
    </fill>
    <fill>
      <patternFill patternType="solid">
        <fgColor rgb="FFD5F6F2"/>
        <bgColor/>
      </patternFill>
    </fill>
    <fill>
      <patternFill patternType="solid">
        <fgColor rgb="FFFDDDEF"/>
        <bgColor/>
      </patternFill>
    </fill>
    <fill>
      <patternFill patternType="solid">
        <fgColor rgb="FFE1EAFF"/>
        <bgColor/>
      </patternFill>
    </fill>
    <fill>
      <patternFill patternType="solid">
        <fgColor rgb="FFFBBFBC"/>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ECE2FE"/>
        <bgColor/>
      </patternFill>
    </fill>
    <fill>
      <patternFill patternType="solid">
        <fgColor rgb="FFFED4A4"/>
        <bgColor/>
      </patternFill>
    </fill>
    <fill>
      <patternFill patternType="solid">
        <fgColor rgb="FFD5F6F2"/>
        <bgColor/>
      </patternFill>
    </fill>
    <fill>
      <patternFill patternType="solid">
        <fgColor rgb="FFFDDDEF"/>
        <bgColor/>
      </patternFill>
    </fill>
    <fill>
      <patternFill patternType="solid">
        <fgColor rgb="FFE1EAFF"/>
        <bgColor/>
      </patternFill>
    </fill>
    <fill>
      <patternFill patternType="solid">
        <fgColor rgb="FFFBBFBC"/>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ECE2FE"/>
        <bgColor/>
      </patternFill>
    </fill>
    <fill>
      <patternFill patternType="solid">
        <fgColor rgb="FFFED4A4"/>
        <bgColor/>
      </patternFill>
    </fill>
    <fill>
      <patternFill patternType="solid">
        <fgColor rgb="FFD5F6F2"/>
        <bgColor/>
      </patternFill>
    </fill>
    <fill>
      <patternFill patternType="solid">
        <fgColor rgb="FFFDDDEF"/>
        <bgColor/>
      </patternFill>
    </fill>
    <fill>
      <patternFill patternType="solid">
        <fgColor rgb="FFE1EAFF"/>
        <bgColor/>
      </patternFill>
    </fill>
    <fill>
      <patternFill patternType="solid">
        <fgColor rgb="FFFBBFBC"/>
        <bgColor/>
      </patternFill>
    </fill>
    <fill>
      <patternFill patternType="solid">
        <fgColor rgb="FFFAF1D1"/>
        <bgColor/>
      </patternFill>
    </fill>
    <fill>
      <patternFill patternType="solid">
        <fgColor rgb="FFD9F3FD"/>
        <bgColor/>
      </patternFill>
    </fill>
    <fill>
      <patternFill patternType="solid">
        <fgColor rgb="FFD9F5D6"/>
        <bgColor/>
      </patternFill>
    </fill>
    <fill>
      <patternFill patternType="solid">
        <fgColor rgb="FFEEF6C6"/>
        <bgColor/>
      </patternFill>
    </fill>
    <fill>
      <patternFill patternType="solid">
        <fgColor rgb="FFFFF258"/>
        <bgColor/>
      </patternFill>
    </fill>
    <fill>
      <patternFill patternType="solid">
        <fgColor rgb="FFFED4A4"/>
        <bgColor/>
      </patternFill>
    </fill>
    <fill>
      <patternFill patternType="solid">
        <fgColor rgb="FFECE2FE"/>
        <bgColor/>
      </patternFill>
    </fill>
    <fill>
      <patternFill patternType="solid">
        <fgColor rgb="FFD5F6F2"/>
        <bgColor/>
      </patternFill>
    </fill>
    <fill>
      <patternFill patternType="solid">
        <fgColor rgb="FFFDDDEF"/>
        <bgColor/>
      </patternFill>
    </fill>
    <fill>
      <patternFill patternType="solid">
        <fgColor rgb="FFE1EAFF"/>
        <bgColor/>
      </patternFill>
    </fill>
    <fill>
      <patternFill patternType="solid">
        <fgColor rgb="FFFBBFBC"/>
        <bgColor/>
      </patternFill>
    </fill>
    <fill>
      <patternFill patternType="solid">
        <fgColor rgb="FFFAF1D1"/>
        <bgColor/>
      </patternFill>
    </fill>
    <fill>
      <patternFill patternType="solid">
        <fgColor rgb="FFD9F3FD"/>
        <bgColor/>
      </patternFill>
    </fill>
    <fill>
      <patternFill patternType="solid">
        <fgColor rgb="FFFFF258"/>
        <bgColor/>
      </patternFill>
    </fill>
    <fill>
      <patternFill patternType="solid">
        <fgColor rgb="FFEEF6C6"/>
        <bgColor/>
      </patternFill>
    </fill>
    <fill>
      <patternFill patternType="solid">
        <fgColor rgb="FFFED4A4"/>
        <bgColor/>
      </patternFill>
    </fill>
    <fill>
      <patternFill patternType="solid">
        <fgColor rgb="FFECE2FE"/>
        <bgColor/>
      </patternFill>
    </fill>
    <fill>
      <patternFill patternType="solid">
        <fgColor rgb="FFD5F6F2"/>
        <bgColor/>
      </patternFill>
    </fill>
    <fill>
      <patternFill patternType="solid">
        <fgColor rgb="FFFDDDEF"/>
        <bgColor/>
      </patternFill>
    </fill>
    <fill>
      <patternFill patternType="solid">
        <fgColor rgb="FFE1EAFF"/>
        <bgColor/>
      </patternFill>
    </fill>
    <fill>
      <patternFill patternType="solid">
        <fgColor rgb="FFFBBFBC"/>
        <bgColor/>
      </patternFill>
    </fill>
    <fill>
      <patternFill patternType="solid">
        <fgColor rgb="FFD9F5D6"/>
        <bgColor/>
      </patternFill>
    </fill>
    <fill>
      <patternFill patternType="solid">
        <fgColor rgb="FFFAF1D1"/>
        <bgColor/>
      </patternFill>
    </fill>
    <fill>
      <patternFill patternType="solid">
        <fgColor rgb="FFD9F3FD"/>
        <bgColor/>
      </patternFill>
    </fill>
    <fill>
      <patternFill patternType="solid">
        <fgColor rgb="FFFFF258"/>
        <bgColor/>
      </patternFill>
    </fill>
    <fill>
      <patternFill patternType="solid">
        <fgColor rgb="FFEEF6C6"/>
        <bgColor/>
      </patternFill>
    </fill>
    <fill>
      <patternFill patternType="solid">
        <fgColor rgb="FFFED4A4"/>
        <bgColor/>
      </patternFill>
    </fill>
    <fill>
      <patternFill patternType="solid">
        <fgColor rgb="FFECE2FE"/>
        <bgColor/>
      </patternFill>
    </fill>
    <fill>
      <patternFill patternType="solid">
        <fgColor rgb="FFD5F6F2"/>
        <bgColor/>
      </patternFill>
    </fill>
    <fill>
      <patternFill patternType="solid">
        <fgColor rgb="FFFDDDEF"/>
        <bgColor/>
      </patternFill>
    </fill>
    <fill>
      <patternFill patternType="solid">
        <fgColor rgb="FFE1EAFF"/>
        <bgColor/>
      </patternFill>
    </fill>
    <fill>
      <patternFill patternType="solid">
        <fgColor rgb="FFFBBFBC"/>
        <bgColor/>
      </patternFill>
    </fill>
    <fill>
      <patternFill patternType="solid">
        <fgColor rgb="FFD9F5D6"/>
        <bgColor/>
      </patternFill>
    </fill>
    <fill>
      <patternFill patternType="solid">
        <fgColor rgb="FFFAF1D1"/>
        <bgColor/>
      </patternFill>
    </fill>
    <fill>
      <patternFill patternType="solid">
        <fgColor rgb="FFFFF258"/>
        <bgColor/>
      </patternFill>
    </fill>
    <fill>
      <patternFill patternType="solid">
        <fgColor rgb="FFEEF6C6"/>
        <bgColor/>
      </patternFill>
    </fill>
    <fill>
      <patternFill patternType="solid">
        <fgColor rgb="FFFED4A4"/>
        <bgColor/>
      </patternFill>
    </fill>
    <fill>
      <patternFill patternType="solid">
        <fgColor rgb="FFECE2FE"/>
        <bgColor/>
      </patternFill>
    </fill>
    <fill>
      <patternFill patternType="solid">
        <fgColor rgb="FFD5F6F2"/>
        <bgColor/>
      </patternFill>
    </fill>
    <fill>
      <patternFill patternType="solid">
        <fgColor rgb="FFFDDDEF"/>
        <bgColor/>
      </patternFill>
    </fill>
    <fill>
      <patternFill patternType="solid">
        <fgColor rgb="FFFAF1D1"/>
        <bgColor/>
      </patternFill>
    </fill>
    <fill>
      <patternFill patternType="solid">
        <fgColor rgb="FFFFF258"/>
        <bgColor/>
      </patternFill>
    </fill>
    <fill>
      <patternFill patternType="solid">
        <fgColor rgb="FFEEF6C6"/>
        <bgColor/>
      </patternFill>
    </fill>
    <fill>
      <patternFill patternType="solid">
        <fgColor rgb="FFECE2FE"/>
        <bgColor/>
      </patternFill>
    </fill>
    <fill>
      <patternFill patternType="solid">
        <fgColor rgb="FFD5F6F2"/>
        <bgColor/>
      </patternFill>
    </fill>
    <fill>
      <patternFill patternType="solid">
        <fgColor rgb="FFFDDDEF"/>
        <bgColor/>
      </patternFill>
    </fill>
  </fills>
  <borders count="336">
    <border>
      <left/>
      <right/>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FFFFFF"/>
      </left>
      <right style="thin">
        <color rgb="FFFFFFFF"/>
      </right>
      <top style="thin">
        <color rgb="FFFFFFFF"/>
      </top>
      <bottom style="thin">
        <color rgb="FFFFFFFF"/>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bottom style="thin">
        <color rgb="FF1F2329"/>
      </bottom>
      <diagonal/>
    </border>
  </borders>
  <cellStyleXfs count="1">
    <xf applyAlignment="true" applyBorder="false" applyFill="false" applyFont="false" applyNumberFormat="false" applyProtection="false" borderId="0" fillId="0" fontId="0" numFmtId="0"/>
  </cellStyleXfs>
  <cellXfs count="302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true" applyProtection="false" borderId="1" fillId="0" fontId="1" numFmtId="164" xfId="0">
      <alignment horizontal="center" vertical="center" wrapText="true"/>
    </xf>
    <xf applyAlignment="true" applyBorder="false" applyFill="false" applyFont="true" applyNumberFormat="false" applyProtection="false" borderId="2" fillId="0" fontId="1" numFmtId="0" xfId="0">
      <alignment horizontal="center" vertical="center" wrapText="true"/>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3" fillId="2" fontId="3" numFmtId="0" xfId="0">
      <alignment horizontal="center" vertical="center"/>
    </xf>
    <xf applyAlignment="true" applyBorder="false" applyFill="true" applyFont="true" applyNumberFormat="false" applyProtection="false" borderId="3" fillId="2" fontId="3" numFmtId="0" xfId="0">
      <alignment vertical="center"/>
    </xf>
    <xf applyAlignment="true" applyBorder="false" applyFill="true" applyFont="true" applyNumberFormat="false" applyProtection="false" borderId="3" fillId="2" fontId="4" numFmtId="0" xfId="0">
      <alignment horizontal="center" vertical="center"/>
    </xf>
    <xf applyAlignment="true" applyBorder="false" applyFill="true" applyFont="true" applyNumberFormat="false" applyProtection="false" borderId="3" fillId="2" fontId="4" numFmtId="0" xfId="0">
      <alignment horizontal="center" vertical="center"/>
    </xf>
    <xf applyAlignment="true" applyBorder="false" applyFill="true" applyFont="true" applyNumberFormat="false" applyProtection="false" borderId="3" fillId="2"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3" fillId="0" fontId="4" numFmtId="0" xfId="0">
      <alignment horizontal="center" vertical="center" wrapText="true"/>
    </xf>
    <xf applyAlignment="true" applyBorder="false" applyFill="false" applyFont="true" applyNumberFormat="false" applyProtection="false" borderId="3" fillId="0" fontId="3" numFmtId="0" xfId="0">
      <alignment horizontal="center" vertical="center"/>
    </xf>
    <xf applyAlignment="true" applyBorder="false" applyFill="false" applyFont="true" applyNumberFormat="false" applyProtection="false" borderId="3" fillId="0" fontId="4" numFmtId="0" xfId="0">
      <alignment horizontal="center" vertical="center"/>
    </xf>
    <xf applyAlignment="true" applyBorder="false" applyFill="false" applyFont="true" applyNumberFormat="false" applyProtection="false" borderId="3" fillId="0" fontId="4" numFmtId="0" xfId="0">
      <alignment vertical="center"/>
    </xf>
    <xf applyAlignment="true" applyBorder="false" applyFill="true" applyFont="true" applyNumberFormat="false" applyProtection="false" borderId="3" fillId="3" fontId="3" numFmtId="0" xfId="0">
      <alignment horizontal="center" vertical="center" wrapText="true"/>
    </xf>
    <xf applyAlignment="true" applyBorder="false" applyFill="true" applyFont="true" applyNumberFormat="false" applyProtection="false" borderId="3" fillId="3" fontId="3" numFmtId="0" xfId="0">
      <alignment vertical="center"/>
    </xf>
    <xf applyAlignment="true" applyBorder="false" applyFill="true" applyFont="true" applyNumberFormat="false" applyProtection="false" borderId="3" fillId="3" fontId="3" numFmtId="0" xfId="0">
      <alignment horizontal="center" vertical="center"/>
    </xf>
    <xf applyAlignment="true" applyBorder="false" applyFill="true" applyFont="true" applyNumberFormat="false" applyProtection="false" borderId="3" fillId="3" fontId="4" numFmtId="0" xfId="0">
      <alignment horizontal="center" vertical="center"/>
    </xf>
    <xf applyAlignment="true" applyBorder="false" applyFill="true" applyFont="true" applyNumberFormat="false" applyProtection="false" borderId="3" fillId="3"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3" fillId="3" fontId="5" numFmtId="0" xfId="0">
      <alignment horizontal="center" vertical="center"/>
    </xf>
    <xf applyAlignment="true" applyBorder="false" applyFill="true" applyFont="true" applyNumberFormat="false" applyProtection="false" borderId="3" fillId="3" fontId="3" numFmtId="0" xfId="0">
      <alignment vertical="center" wrapText="true"/>
    </xf>
    <xf applyAlignment="true" applyBorder="false" applyFill="true" applyFont="true" applyNumberFormat="false" applyProtection="false" borderId="3" fillId="4" fontId="5" numFmtId="0" xfId="0">
      <alignment horizontal="center" vertical="center"/>
    </xf>
    <xf applyAlignment="true" applyBorder="false" applyFill="true" applyFont="true" applyNumberFormat="false" applyProtection="false" borderId="3" fillId="4" fontId="3" numFmtId="0" xfId="0">
      <alignment vertical="center"/>
    </xf>
    <xf applyAlignment="true" applyBorder="false" applyFill="true" applyFont="true" applyNumberFormat="false" applyProtection="false" borderId="3" fillId="4" fontId="3" numFmtId="0" xfId="0">
      <alignment horizontal="center" vertical="center"/>
    </xf>
    <xf applyAlignment="true" applyBorder="false" applyFill="true" applyFont="true" applyNumberFormat="false" applyProtection="false" borderId="3" fillId="4" fontId="4" numFmtId="0" xfId="0">
      <alignment horizontal="center" vertical="center"/>
    </xf>
    <xf applyAlignment="true" applyBorder="false" applyFill="true" applyFont="true" applyNumberFormat="false" applyProtection="false" borderId="3" fillId="4" fontId="4" numFmtId="0" xfId="0">
      <alignment horizontal="center" vertical="center"/>
    </xf>
    <xf applyAlignment="true" applyBorder="false" applyFill="true" applyFont="true" applyNumberFormat="false" applyProtection="false" borderId="3" fillId="4" fontId="3" numFmtId="0" xfId="0">
      <alignment horizontal="center" vertical="center"/>
    </xf>
    <xf applyAlignment="true" applyBorder="false" applyFill="true" applyFont="true" applyNumberFormat="false" applyProtection="false" borderId="3" fillId="5" fontId="5" numFmtId="0" xfId="0">
      <alignment horizontal="center" vertical="center"/>
    </xf>
    <xf applyAlignment="true" applyBorder="false" applyFill="true" applyFont="true" applyNumberFormat="false" applyProtection="false" borderId="3" fillId="5" fontId="3" numFmtId="0" xfId="0">
      <alignment vertical="center"/>
    </xf>
    <xf applyAlignment="true" applyBorder="false" applyFill="true" applyFont="true" applyNumberFormat="false" applyProtection="false" borderId="3" fillId="5" fontId="3" numFmtId="0" xfId="0">
      <alignment horizontal="center" vertical="center"/>
    </xf>
    <xf applyAlignment="true" applyBorder="false" applyFill="true" applyFont="true" applyNumberFormat="false" applyProtection="false" borderId="3" fillId="5" fontId="4" numFmtId="0" xfId="0">
      <alignment horizontal="center" vertical="center"/>
    </xf>
    <xf applyAlignment="true" applyBorder="false" applyFill="true" applyFont="true" applyNumberFormat="false" applyProtection="false" borderId="3" fillId="5" fontId="3" numFmtId="0" xfId="0">
      <alignment horizontal="center" vertical="center"/>
    </xf>
    <xf applyAlignment="true" applyBorder="false" applyFill="false" applyFont="true" applyNumberFormat="false" applyProtection="false" borderId="3" fillId="0" fontId="4" numFmtId="0" xfId="0">
      <alignment horizontal="center" vertical="center"/>
    </xf>
    <xf applyAlignment="true" applyBorder="false" applyFill="true" applyFont="true" applyNumberFormat="false" applyProtection="false" borderId="3" fillId="6" fontId="5" numFmtId="0" xfId="0">
      <alignment horizontal="center" vertical="center" wrapText="true"/>
    </xf>
    <xf applyAlignment="true" applyBorder="false" applyFill="true" applyFont="true" applyNumberFormat="false" applyProtection="false" borderId="3" fillId="6" fontId="3" numFmtId="0" xfId="0">
      <alignment vertical="center"/>
    </xf>
    <xf applyAlignment="true" applyBorder="false" applyFill="true" applyFont="true" applyNumberFormat="false" applyProtection="false" borderId="3" fillId="6" fontId="3" numFmtId="0" xfId="0">
      <alignment horizontal="center" vertical="center"/>
    </xf>
    <xf applyAlignment="true" applyBorder="false" applyFill="true" applyFont="true" applyNumberFormat="false" applyProtection="false" borderId="3" fillId="6" fontId="4" numFmtId="0" xfId="0">
      <alignment horizontal="center" vertical="center"/>
    </xf>
    <xf applyAlignment="true" applyBorder="false" applyFill="true" applyFont="true" applyNumberFormat="false" applyProtection="false" borderId="3" fillId="6" fontId="4" numFmtId="0" xfId="0">
      <alignment horizontal="center" vertical="center"/>
    </xf>
    <xf applyAlignment="true" applyBorder="false" applyFill="true" applyFont="true" applyNumberFormat="false" applyProtection="false" borderId="3" fillId="6" fontId="3" numFmtId="0" xfId="0">
      <alignment horizontal="center" vertical="center"/>
    </xf>
    <xf applyAlignment="true" applyBorder="false" applyFill="false" applyFont="true" applyNumberFormat="false" applyProtection="false" borderId="3" fillId="0" fontId="3" numFmtId="0" xfId="0">
      <alignment horizontal="center" vertical="center"/>
    </xf>
    <xf applyAlignment="true" applyBorder="false" applyFill="true" applyFont="true" applyNumberFormat="false" applyProtection="false" borderId="3" fillId="7" fontId="3" numFmtId="0" xfId="0">
      <alignment horizontal="center" vertical="center"/>
    </xf>
    <xf applyAlignment="true" applyBorder="false" applyFill="true" applyFont="true" applyNumberFormat="false" applyProtection="false" borderId="3" fillId="7" fontId="3" numFmtId="0" xfId="0">
      <alignment vertical="center"/>
    </xf>
    <xf applyAlignment="true" applyBorder="false" applyFill="true" applyFont="true" applyNumberFormat="false" applyProtection="false" borderId="3" fillId="7" fontId="4" numFmtId="0" xfId="0">
      <alignment horizontal="center" vertical="center"/>
    </xf>
    <xf applyAlignment="true" applyBorder="false" applyFill="true" applyFont="true" applyNumberFormat="false" applyProtection="false" borderId="3" fillId="7" fontId="3" numFmtId="0" xfId="0">
      <alignment horizontal="center" vertical="center"/>
    </xf>
    <xf applyAlignment="true" applyBorder="false" applyFill="false" applyFont="true" applyNumberFormat="false" applyProtection="false" borderId="4" fillId="0" fontId="3" numFmtId="0" xfId="0">
      <alignment horizontal="center" vertical="center"/>
    </xf>
    <xf applyAlignment="true" applyBorder="false" applyFill="false" applyFont="true" applyNumberFormat="false" applyProtection="false" borderId="4" fillId="0" fontId="4" numFmtId="0" xfId="0">
      <alignment horizontal="center" vertical="center"/>
    </xf>
    <xf applyAlignment="true" applyBorder="false" applyFill="true" applyFont="true" applyNumberFormat="false" applyProtection="false" borderId="4" fillId="8" fontId="5" numFmtId="0" xfId="0">
      <alignment horizontal="center" vertical="center"/>
    </xf>
    <xf applyAlignment="true" applyBorder="false" applyFill="true" applyFont="true" applyNumberFormat="false" applyProtection="false" borderId="4" fillId="8" fontId="3" numFmtId="0" xfId="0">
      <alignment vertical="center"/>
    </xf>
    <xf applyAlignment="true" applyBorder="false" applyFill="true" applyFont="true" applyNumberFormat="false" applyProtection="false" borderId="4" fillId="8" fontId="3" numFmtId="0" xfId="0">
      <alignment horizontal="center" vertical="center"/>
    </xf>
    <xf applyAlignment="true" applyBorder="false" applyFill="true" applyFont="true" applyNumberFormat="false" applyProtection="false" borderId="4" fillId="8" fontId="4" numFmtId="0" xfId="0">
      <alignment horizontal="center" vertical="center"/>
    </xf>
    <xf applyAlignment="true" applyBorder="false" applyFill="true" applyFont="true" applyNumberFormat="false" applyProtection="false" borderId="4" fillId="8" fontId="3" numFmtId="0" xfId="0">
      <alignment horizontal="center" vertical="center"/>
    </xf>
    <xf applyAlignment="true" applyBorder="false" applyFill="false" applyFont="true" applyNumberFormat="false" applyProtection="false" borderId="4" fillId="0" fontId="4" numFmtId="0" xfId="0">
      <alignment horizontal="center" vertical="center"/>
    </xf>
    <xf applyAlignment="true" applyBorder="false" applyFill="false" applyFont="true" applyNumberFormat="false" applyProtection="false" borderId="4" fillId="0" fontId="3" numFmtId="0" xfId="0">
      <alignment horizontal="center" vertical="center"/>
    </xf>
    <xf applyAlignment="true" applyBorder="false" applyFill="false" applyFont="true" applyNumberFormat="false" applyProtection="false" borderId="4" fillId="0" fontId="4" numFmtId="0" xfId="0">
      <alignment vertical="center"/>
    </xf>
    <xf applyAlignment="true" applyBorder="false" applyFill="true" applyFont="true" applyNumberFormat="false" applyProtection="false" borderId="3" fillId="9" fontId="3" numFmtId="0" xfId="0">
      <alignment horizontal="center" vertical="center"/>
    </xf>
    <xf applyAlignment="true" applyBorder="false" applyFill="true" applyFont="true" applyNumberFormat="false" applyProtection="false" borderId="3" fillId="9" fontId="3" numFmtId="0" xfId="0">
      <alignment horizontal="left" vertical="center" wrapText="true"/>
    </xf>
    <xf applyAlignment="true" applyBorder="false" applyFill="true" applyFont="true" applyNumberFormat="false" applyProtection="false" borderId="3" fillId="9" fontId="4" numFmtId="0" xfId="0">
      <alignment horizontal="center" vertical="center"/>
    </xf>
    <xf applyAlignment="true" applyBorder="false" applyFill="true" applyFont="true" applyNumberFormat="false" applyProtection="false" borderId="3" fillId="9" fontId="4" numFmtId="0" xfId="0">
      <alignment vertical="center"/>
    </xf>
    <xf applyAlignment="true" applyBorder="false" applyFill="false" applyFont="true" applyNumberFormat="false" applyProtection="false" borderId="3" fillId="0" fontId="4" numFmtId="0" xfId="0">
      <alignment horizontal="center" vertical="center"/>
    </xf>
    <xf applyAlignment="true" applyBorder="false" applyFill="false" applyFont="true" applyNumberFormat="false" applyProtection="false" borderId="3" fillId="0" fontId="3" numFmtId="0" xfId="0">
      <alignment horizontal="center" vertical="center"/>
    </xf>
    <xf applyAlignment="true" applyBorder="false" applyFill="false" applyFont="true" applyNumberFormat="false" applyProtection="false" borderId="3" fillId="0" fontId="4" numFmtId="0" xfId="0">
      <alignment vertical="center"/>
    </xf>
    <xf applyAlignment="true" applyBorder="false" applyFill="false" applyFont="true" applyNumberFormat="false" applyProtection="false" borderId="3" fillId="0" fontId="3" numFmtId="0" xfId="0">
      <alignment horizontal="left" vertical="center"/>
    </xf>
    <xf applyAlignment="true" applyBorder="false" applyFill="true" applyFont="true" applyNumberFormat="false" applyProtection="false" borderId="3" fillId="10" fontId="3" numFmtId="0" xfId="0">
      <alignment horizontal="center" vertical="center"/>
    </xf>
    <xf applyAlignment="true" applyBorder="false" applyFill="true" applyFont="true" applyNumberFormat="false" applyProtection="false" borderId="3" fillId="10" fontId="3" numFmtId="0" xfId="0">
      <alignment horizontal="center" vertical="center"/>
    </xf>
    <xf applyAlignment="true" applyBorder="false" applyFill="true" applyFont="true" applyNumberFormat="false" applyProtection="false" borderId="3" fillId="10" fontId="4" numFmtId="0" xfId="0">
      <alignment horizontal="center" vertical="center"/>
    </xf>
    <xf applyAlignment="true" applyBorder="false" applyFill="true" applyFont="true" applyNumberFormat="false" applyProtection="false" borderId="3" fillId="10" fontId="4" numFmtId="0" xfId="0">
      <alignment vertical="center"/>
    </xf>
    <xf applyAlignment="true" applyBorder="false" applyFill="false" applyFont="true" applyNumberFormat="false" applyProtection="false" borderId="3" fillId="0" fontId="4" numFmtId="0" xfId="0">
      <alignment vertical="center"/>
    </xf>
    <xf applyAlignment="true" applyBorder="false" applyFill="false" applyFont="true" applyNumberFormat="false" applyProtection="false" borderId="5" fillId="0" fontId="4" numFmtId="0" xfId="0">
      <alignment vertical="center"/>
    </xf>
    <xf applyAlignment="true" applyBorder="false" applyFill="false" applyFont="true" applyNumberFormat="false" applyProtection="false" borderId="5" fillId="0" fontId="4" numFmtId="0" xfId="0">
      <alignment vertical="center"/>
    </xf>
    <xf applyAlignment="true" applyBorder="false" applyFill="false" applyFont="true" applyNumberFormat="false" applyProtection="false" borderId="6" fillId="0" fontId="2" numFmtId="0" xfId="0">
      <alignment vertical="center"/>
    </xf>
    <xf applyAlignment="true" applyBorder="false" applyFill="false" applyFont="true" applyNumberFormat="false" applyProtection="false" borderId="7" fillId="0" fontId="2" numFmtId="0" xfId="0">
      <alignment vertical="center"/>
    </xf>
    <xf applyAlignment="true" applyBorder="false" applyFill="false" applyFont="true" applyNumberFormat="false" applyProtection="false" borderId="4" fillId="0" fontId="4" numFmtId="0" xfId="0">
      <alignment vertical="center"/>
    </xf>
    <xf applyAlignment="true" applyBorder="false" applyFill="false" applyFont="true" applyNumberFormat="false" applyProtection="false" borderId="1" fillId="0" fontId="2" numFmtId="0" xfId="0">
      <alignment vertical="center"/>
    </xf>
    <xf applyAlignment="true" applyBorder="false" applyFill="false" applyFont="true" applyNumberFormat="false" applyProtection="false" borderId="3" fillId="0" fontId="2" numFmtId="0" xfId="0">
      <alignment vertical="center"/>
    </xf>
    <xf applyAlignment="true" applyBorder="false" applyFill="false" applyFont="true" applyNumberFormat="false" applyProtection="false" borderId="8" fillId="0" fontId="4" numFmtId="0" xfId="0">
      <alignment vertical="center"/>
    </xf>
    <xf applyAlignment="true" applyBorder="false" applyFill="false" applyFont="true" applyNumberFormat="false" applyProtection="false" borderId="9" fillId="0" fontId="1" numFmtId="0" xfId="0">
      <alignment horizontal="center" vertical="center" wrapText="true"/>
    </xf>
    <xf applyAlignment="true" applyBorder="false" applyFill="false" applyFont="true" applyNumberFormat="true" applyProtection="false" borderId="9" fillId="0" fontId="1" numFmtId="165" xfId="0">
      <alignment horizontal="center" vertical="center" wrapText="true"/>
    </xf>
    <xf applyAlignment="true" applyBorder="false" applyFill="false" applyFont="true" applyNumberFormat="false" applyProtection="false" borderId="10" fillId="0" fontId="1" numFmtId="0" xfId="0">
      <alignment horizontal="center" vertical="center" wrapText="true"/>
    </xf>
    <xf applyAlignment="true" applyBorder="false" applyFill="false" applyFont="true" applyNumberFormat="false" applyProtection="false" borderId="9" fillId="0" fontId="1"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11" fillId="11" fontId="3" numFmtId="0" xfId="0">
      <alignment horizontal="center" vertical="center"/>
    </xf>
    <xf applyAlignment="true" applyBorder="false" applyFill="true" applyFont="true" applyNumberFormat="false" applyProtection="false" borderId="11" fillId="11" fontId="3" numFmtId="0" xfId="0">
      <alignment vertical="center"/>
    </xf>
    <xf applyAlignment="true" applyBorder="false" applyFill="true" applyFont="true" applyNumberFormat="false" applyProtection="false" borderId="11" fillId="11" fontId="4" numFmtId="0" xfId="0">
      <alignment horizontal="center" vertical="center"/>
    </xf>
    <xf applyAlignment="true" applyBorder="false" applyFill="true" applyFont="true" applyNumberFormat="false" applyProtection="false" borderId="11" fillId="11" fontId="4" numFmtId="0" xfId="0">
      <alignment horizontal="center" vertical="center"/>
    </xf>
    <xf applyAlignment="true" applyBorder="false" applyFill="true" applyFont="true" applyNumberFormat="false" applyProtection="false" borderId="11" fillId="11"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1" fillId="0" fontId="4" numFmtId="0" xfId="0">
      <alignment horizontal="center" vertical="center" wrapText="true"/>
    </xf>
    <xf applyAlignment="true" applyBorder="false" applyFill="false" applyFont="true" applyNumberFormat="false" applyProtection="false" borderId="11" fillId="0" fontId="3" numFmtId="0" xfId="0">
      <alignment horizontal="center" vertical="center"/>
    </xf>
    <xf applyAlignment="true" applyBorder="false" applyFill="false" applyFont="true" applyNumberFormat="false" applyProtection="false" borderId="11" fillId="0" fontId="4" numFmtId="0" xfId="0">
      <alignment horizontal="center" vertical="center"/>
    </xf>
    <xf applyAlignment="true" applyBorder="false" applyFill="false" applyFont="true" applyNumberFormat="false" applyProtection="false" borderId="11" fillId="0" fontId="4" numFmtId="0" xfId="0">
      <alignment vertical="center"/>
    </xf>
    <xf applyAlignment="true" applyBorder="false" applyFill="true" applyFont="true" applyNumberFormat="false" applyProtection="false" borderId="11" fillId="12" fontId="3" numFmtId="0" xfId="0">
      <alignment horizontal="center" vertical="center" wrapText="true"/>
    </xf>
    <xf applyAlignment="true" applyBorder="false" applyFill="true" applyFont="true" applyNumberFormat="false" applyProtection="false" borderId="11" fillId="12" fontId="3" numFmtId="0" xfId="0">
      <alignment vertical="center"/>
    </xf>
    <xf applyAlignment="true" applyBorder="false" applyFill="true" applyFont="true" applyNumberFormat="false" applyProtection="false" borderId="11" fillId="12" fontId="3" numFmtId="0" xfId="0">
      <alignment horizontal="center" vertical="center"/>
    </xf>
    <xf applyAlignment="true" applyBorder="false" applyFill="true" applyFont="true" applyNumberFormat="false" applyProtection="false" borderId="11" fillId="12" fontId="4" numFmtId="0" xfId="0">
      <alignment horizontal="center" vertical="center"/>
    </xf>
    <xf applyAlignment="true" applyBorder="false" applyFill="true" applyFont="true" applyNumberFormat="false" applyProtection="false" borderId="11" fillId="12"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0" fillId="12" fontId="5" numFmtId="0" xfId="0">
      <alignment horizontal="center" vertical="center"/>
    </xf>
    <xf applyAlignment="true" applyBorder="false" applyFill="true" applyFont="true" applyNumberFormat="false" applyProtection="false" borderId="11" fillId="12" fontId="3"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11" fillId="12" fontId="5" numFmtId="0" xfId="0">
      <alignment horizontal="center" vertical="center"/>
    </xf>
    <xf applyAlignment="true" applyBorder="false" applyFill="true" applyFont="true" applyNumberFormat="false" applyProtection="false" borderId="11" fillId="13" fontId="5" numFmtId="0" xfId="0">
      <alignment horizontal="center" vertical="center"/>
    </xf>
    <xf applyAlignment="true" applyBorder="false" applyFill="true" applyFont="true" applyNumberFormat="false" applyProtection="false" borderId="11" fillId="13" fontId="3" numFmtId="0" xfId="0">
      <alignment vertical="center"/>
    </xf>
    <xf applyAlignment="true" applyBorder="false" applyFill="true" applyFont="true" applyNumberFormat="false" applyProtection="false" borderId="11" fillId="13" fontId="3" numFmtId="0" xfId="0">
      <alignment horizontal="center" vertical="center"/>
    </xf>
    <xf applyAlignment="true" applyBorder="false" applyFill="true" applyFont="true" applyNumberFormat="false" applyProtection="false" borderId="11" fillId="13" fontId="4" numFmtId="0" xfId="0">
      <alignment horizontal="center" vertical="center"/>
    </xf>
    <xf applyAlignment="true" applyBorder="false" applyFill="true" applyFont="true" applyNumberFormat="false" applyProtection="false" borderId="11" fillId="13" fontId="3" numFmtId="0" xfId="0">
      <alignment horizontal="center" vertical="center"/>
    </xf>
    <xf applyAlignment="true" applyBorder="false" applyFill="true" applyFont="true" applyNumberFormat="false" applyProtection="false" borderId="11" fillId="14" fontId="5" numFmtId="0" xfId="0">
      <alignment horizontal="center" vertical="center"/>
    </xf>
    <xf applyAlignment="true" applyBorder="false" applyFill="true" applyFont="true" applyNumberFormat="false" applyProtection="false" borderId="11" fillId="14" fontId="3" numFmtId="0" xfId="0">
      <alignment vertical="center"/>
    </xf>
    <xf applyAlignment="true" applyBorder="false" applyFill="true" applyFont="true" applyNumberFormat="false" applyProtection="false" borderId="11" fillId="14" fontId="3" numFmtId="0" xfId="0">
      <alignment horizontal="center" vertical="center"/>
    </xf>
    <xf applyAlignment="true" applyBorder="false" applyFill="true" applyFont="true" applyNumberFormat="false" applyProtection="false" borderId="11" fillId="14" fontId="4" numFmtId="0" xfId="0">
      <alignment horizontal="center" vertical="center"/>
    </xf>
    <xf applyAlignment="true" applyBorder="false" applyFill="true" applyFont="true" applyNumberFormat="false" applyProtection="false" borderId="11" fillId="14" fontId="3" numFmtId="0" xfId="0">
      <alignment horizontal="center" vertical="center"/>
    </xf>
    <xf applyAlignment="true" applyBorder="false" applyFill="false" applyFont="true" applyNumberFormat="false" applyProtection="false" borderId="11" fillId="0" fontId="4" numFmtId="0" xfId="0">
      <alignment horizontal="center" vertical="center"/>
    </xf>
    <xf applyAlignment="true" applyBorder="false" applyFill="true" applyFont="true" applyNumberFormat="false" applyProtection="false" borderId="11" fillId="15" fontId="5" numFmtId="0" xfId="0">
      <alignment horizontal="center" vertical="center" wrapText="true"/>
    </xf>
    <xf applyAlignment="true" applyBorder="false" applyFill="true" applyFont="true" applyNumberFormat="false" applyProtection="false" borderId="11" fillId="15" fontId="3" numFmtId="0" xfId="0">
      <alignment vertical="center"/>
    </xf>
    <xf applyAlignment="true" applyBorder="false" applyFill="true" applyFont="true" applyNumberFormat="false" applyProtection="false" borderId="11" fillId="15" fontId="3" numFmtId="0" xfId="0">
      <alignment horizontal="center" vertical="center"/>
    </xf>
    <xf applyAlignment="true" applyBorder="false" applyFill="true" applyFont="true" applyNumberFormat="false" applyProtection="false" borderId="11" fillId="15" fontId="4" numFmtId="0" xfId="0">
      <alignment horizontal="center" vertical="center"/>
    </xf>
    <xf applyAlignment="true" applyBorder="false" applyFill="true" applyFont="true" applyNumberFormat="false" applyProtection="false" borderId="11" fillId="15"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1" fillId="0" fontId="3" numFmtId="0" xfId="0">
      <alignment horizontal="center" vertical="center"/>
    </xf>
    <xf applyAlignment="true" applyBorder="false" applyFill="true" applyFont="true" applyNumberFormat="false" applyProtection="false" borderId="11" fillId="16" fontId="3" numFmtId="0" xfId="0">
      <alignment horizontal="center" vertical="center"/>
    </xf>
    <xf applyAlignment="true" applyBorder="false" applyFill="true" applyFont="true" applyNumberFormat="false" applyProtection="false" borderId="11" fillId="16" fontId="3" numFmtId="0" xfId="0">
      <alignment vertical="center"/>
    </xf>
    <xf applyAlignment="true" applyBorder="false" applyFill="true" applyFont="true" applyNumberFormat="false" applyProtection="false" borderId="12" fillId="16" fontId="3" numFmtId="0" xfId="0">
      <alignment horizontal="center" vertical="center"/>
    </xf>
    <xf applyAlignment="true" applyBorder="false" applyFill="true" applyFont="true" applyNumberFormat="false" applyProtection="false" borderId="12" fillId="16" fontId="4" numFmtId="0" xfId="0">
      <alignment horizontal="center" vertical="center"/>
    </xf>
    <xf applyAlignment="true" applyBorder="false" applyFill="true" applyFont="true" applyNumberFormat="false" applyProtection="false" borderId="11" fillId="16" fontId="3" numFmtId="0" xfId="0">
      <alignment horizontal="center" vertical="center"/>
    </xf>
    <xf applyAlignment="true" applyBorder="false" applyFill="false" applyFont="true" applyNumberFormat="false" applyProtection="false" borderId="13" fillId="0" fontId="4" numFmtId="0" xfId="0">
      <alignment horizontal="center" vertical="center" wrapText="true"/>
    </xf>
    <xf applyAlignment="true" applyBorder="false" applyFill="false" applyFont="true" applyNumberFormat="false" applyProtection="false" borderId="11" fillId="0" fontId="3" numFmtId="0" xfId="0">
      <alignment horizontal="center" vertical="center"/>
    </xf>
    <xf applyAlignment="true" applyBorder="false" applyFill="false" applyFont="true" applyNumberFormat="false" applyProtection="false" borderId="14" fillId="0" fontId="3" numFmtId="0" xfId="0">
      <alignment horizontal="center" vertical="center"/>
    </xf>
    <xf applyAlignment="true" applyBorder="false" applyFill="true" applyFont="true" applyNumberFormat="false" applyProtection="false" borderId="11" fillId="17" fontId="3" numFmtId="0" xfId="0">
      <alignment horizontal="center" vertical="center"/>
    </xf>
    <xf applyAlignment="true" applyBorder="false" applyFill="true" applyFont="true" applyNumberFormat="false" applyProtection="false" borderId="13" fillId="17" fontId="3" numFmtId="0" xfId="0">
      <alignment horizontal="left" vertical="center" wrapText="true"/>
    </xf>
    <xf applyAlignment="true" applyBorder="false" applyFill="true" applyFont="true" applyNumberFormat="false" applyProtection="false" borderId="15" fillId="17" fontId="3" numFmtId="0" xfId="0">
      <alignment horizontal="center" vertical="center"/>
    </xf>
    <xf applyAlignment="true" applyBorder="false" applyFill="true" applyFont="true" applyNumberFormat="false" applyProtection="false" borderId="15" fillId="17" fontId="4" numFmtId="0" xfId="0">
      <alignment horizontal="center" vertical="center"/>
    </xf>
    <xf applyAlignment="true" applyBorder="false" applyFill="true" applyFont="true" applyNumberFormat="false" applyProtection="false" borderId="15" fillId="17" fontId="4" numFmtId="0" xfId="0">
      <alignment vertical="center"/>
    </xf>
    <xf applyAlignment="true" applyBorder="false" applyFill="true" applyFont="true" applyNumberFormat="false" applyProtection="false" borderId="14" fillId="17" fontId="3" numFmtId="0" xfId="0">
      <alignment horizontal="center" vertical="center"/>
    </xf>
    <xf applyAlignment="true" applyBorder="false" applyFill="false" applyFont="true" applyNumberFormat="false" applyProtection="false" borderId="11" fillId="0" fontId="4" numFmtId="0" xfId="0">
      <alignment horizontal="center" vertical="center"/>
    </xf>
    <xf applyAlignment="true" applyBorder="false" applyFill="false" applyFont="true" applyNumberFormat="false" applyProtection="false" borderId="15" fillId="0" fontId="3" numFmtId="0" xfId="0">
      <alignment horizontal="center" vertical="center"/>
    </xf>
    <xf applyAlignment="true" applyBorder="false" applyFill="false" applyFont="true" applyNumberFormat="false" applyProtection="false" borderId="15" fillId="0" fontId="4" numFmtId="0" xfId="0">
      <alignment horizontal="center" vertical="center"/>
    </xf>
    <xf applyAlignment="true" applyBorder="false" applyFill="false" applyFont="true" applyNumberFormat="false" applyProtection="false" borderId="15" fillId="0" fontId="4" numFmtId="0" xfId="0">
      <alignment vertical="center"/>
    </xf>
    <xf applyAlignment="true" applyBorder="false" applyFill="true" applyFont="true" applyNumberFormat="false" applyProtection="false" borderId="11" fillId="17" fontId="3" numFmtId="0" xfId="0">
      <alignment horizontal="left" vertical="center" wrapText="true"/>
    </xf>
    <xf applyAlignment="true" applyBorder="false" applyFill="true" applyFont="true" applyNumberFormat="false" applyProtection="false" borderId="11" fillId="17" fontId="4" numFmtId="0" xfId="0">
      <alignment horizontal="center" vertical="center"/>
    </xf>
    <xf applyAlignment="true" applyBorder="false" applyFill="true" applyFont="true" applyNumberFormat="false" applyProtection="false" borderId="11" fillId="17" fontId="4" numFmtId="0" xfId="0">
      <alignment vertical="center"/>
    </xf>
    <xf applyAlignment="true" applyBorder="false" applyFill="false" applyFont="true" applyNumberFormat="false" applyProtection="false" borderId="11" fillId="0" fontId="4" numFmtId="0" xfId="0">
      <alignment vertical="center"/>
    </xf>
    <xf applyAlignment="true" applyBorder="false" applyFill="false" applyFont="true" applyNumberFormat="false" applyProtection="false" borderId="11" fillId="0" fontId="3" numFmtId="0" xfId="0">
      <alignment horizontal="left" vertical="center"/>
    </xf>
    <xf applyAlignment="true" applyBorder="false" applyFill="true" applyFont="true" applyNumberFormat="false" applyProtection="false" borderId="11" fillId="18" fontId="3" numFmtId="0" xfId="0">
      <alignment horizontal="center" vertical="center"/>
    </xf>
    <xf applyAlignment="true" applyBorder="false" applyFill="true" applyFont="true" applyNumberFormat="false" applyProtection="false" borderId="11" fillId="18" fontId="3" numFmtId="0" xfId="0">
      <alignment horizontal="center" vertical="center"/>
    </xf>
    <xf applyAlignment="true" applyBorder="false" applyFill="true" applyFont="true" applyNumberFormat="false" applyProtection="false" borderId="11" fillId="18" fontId="4" numFmtId="0" xfId="0">
      <alignment horizontal="center" vertical="center"/>
    </xf>
    <xf applyAlignment="true" applyBorder="false" applyFill="true" applyFont="true" applyNumberFormat="false" applyProtection="false" borderId="11" fillId="18" fontId="4" numFmtId="0" xfId="0">
      <alignment vertical="center"/>
    </xf>
    <xf applyAlignment="true" applyBorder="false" applyFill="false" applyFont="true" applyNumberFormat="false" applyProtection="false" borderId="11" fillId="0" fontId="4" numFmtId="0" xfId="0">
      <alignment vertical="center"/>
    </xf>
    <xf applyAlignment="true" applyBorder="false" applyFill="false" applyFont="true" applyNumberFormat="false" applyProtection="false" borderId="15" fillId="0" fontId="4" numFmtId="0" xfId="0">
      <alignment vertical="center"/>
    </xf>
    <xf applyAlignment="true" applyBorder="false" applyFill="false" applyFont="true" applyNumberFormat="false" applyProtection="false" borderId="15" fillId="0" fontId="4" numFmtId="0" xfId="0">
      <alignment vertical="center"/>
    </xf>
    <xf applyAlignment="true" applyBorder="false" applyFill="false" applyFont="true" applyNumberFormat="false" applyProtection="false" borderId="16" fillId="0" fontId="2" numFmtId="0" xfId="0">
      <alignment vertical="center"/>
    </xf>
    <xf applyAlignment="true" applyBorder="false" applyFill="false" applyFont="true" applyNumberFormat="false" applyProtection="false" borderId="17" fillId="0" fontId="2" numFmtId="0" xfId="0">
      <alignment vertical="center"/>
    </xf>
    <xf applyAlignment="true" applyBorder="false" applyFill="false" applyFont="true" applyNumberFormat="false" applyProtection="false" borderId="12" fillId="0" fontId="4" numFmtId="0" xfId="0">
      <alignment vertical="center"/>
    </xf>
    <xf applyAlignment="true" applyBorder="false" applyFill="false" applyFont="true" applyNumberFormat="false" applyProtection="false" borderId="9" fillId="0" fontId="2" numFmtId="0" xfId="0">
      <alignment vertical="center"/>
    </xf>
    <xf applyAlignment="true" applyBorder="false" applyFill="false" applyFont="true" applyNumberFormat="false" applyProtection="false" borderId="11" fillId="0" fontId="2" numFmtId="0" xfId="0">
      <alignment vertical="center"/>
    </xf>
    <xf applyAlignment="true" applyBorder="false" applyFill="false" applyFont="true" applyNumberFormat="false" applyProtection="false" borderId="17" fillId="0" fontId="2" numFmtId="0" xfId="0">
      <alignment vertical="center"/>
    </xf>
    <xf applyAlignment="true" applyBorder="false" applyFill="false" applyFont="true" applyNumberFormat="false" applyProtection="false" borderId="14" fillId="0" fontId="4" numFmtId="0" xfId="0">
      <alignment vertical="center"/>
    </xf>
    <xf applyAlignment="true" applyBorder="false" applyFill="false" applyFont="true" applyNumberFormat="false" applyProtection="false" borderId="18" fillId="0" fontId="1" numFmtId="0" xfId="0">
      <alignment horizontal="center" vertical="center" wrapText="true"/>
    </xf>
    <xf applyAlignment="true" applyBorder="false" applyFill="false" applyFont="true" applyNumberFormat="true" applyProtection="false" borderId="18" fillId="0" fontId="1" numFmtId="166" xfId="0">
      <alignment horizontal="center" vertical="center" wrapText="true"/>
    </xf>
    <xf applyAlignment="true" applyBorder="false" applyFill="false" applyFont="true" applyNumberFormat="false" applyProtection="false" borderId="19" fillId="0" fontId="1" numFmtId="0" xfId="0">
      <alignment horizontal="center" vertical="center" wrapText="true"/>
    </xf>
    <xf applyAlignment="true" applyBorder="false" applyFill="false" applyFont="true" applyNumberFormat="false" applyProtection="false" borderId="18" fillId="0" fontId="1"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20" fillId="19" fontId="3" numFmtId="0" xfId="0">
      <alignment horizontal="center" vertical="center"/>
    </xf>
    <xf applyAlignment="true" applyBorder="false" applyFill="true" applyFont="true" applyNumberFormat="false" applyProtection="false" borderId="20" fillId="19" fontId="3" numFmtId="0" xfId="0">
      <alignment vertical="center" wrapText="true"/>
    </xf>
    <xf applyAlignment="true" applyBorder="false" applyFill="true" applyFont="true" applyNumberFormat="false" applyProtection="false" borderId="20" fillId="19" fontId="4" numFmtId="0" xfId="0">
      <alignment horizontal="center" vertical="center"/>
    </xf>
    <xf applyAlignment="true" applyBorder="false" applyFill="true" applyFont="true" applyNumberFormat="false" applyProtection="false" borderId="20" fillId="19"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0" fillId="0" fontId="4" numFmtId="0" xfId="0">
      <alignment horizontal="center" vertical="center" wrapText="true"/>
    </xf>
    <xf applyAlignment="true" applyBorder="false" applyFill="false" applyFont="true" applyNumberFormat="false" applyProtection="false" borderId="20" fillId="0" fontId="3" numFmtId="0" xfId="0">
      <alignment horizontal="center" vertical="center"/>
    </xf>
    <xf applyAlignment="true" applyBorder="false" applyFill="false" applyFont="true" applyNumberFormat="false" applyProtection="false" borderId="20" fillId="0" fontId="4" numFmtId="0" xfId="0">
      <alignment horizontal="center" vertical="center"/>
    </xf>
    <xf applyAlignment="true" applyBorder="false" applyFill="false" applyFont="true" applyNumberFormat="false" applyProtection="false" borderId="20" fillId="0" fontId="4" numFmtId="0" xfId="0">
      <alignment vertical="center"/>
    </xf>
    <xf applyAlignment="true" applyBorder="false" applyFill="true" applyFont="true" applyNumberFormat="false" applyProtection="false" borderId="20" fillId="20" fontId="3" numFmtId="0" xfId="0">
      <alignment horizontal="center" vertical="center" wrapText="true"/>
    </xf>
    <xf applyAlignment="true" applyBorder="false" applyFill="true" applyFont="true" applyNumberFormat="false" applyProtection="false" borderId="20" fillId="20" fontId="3" numFmtId="0" xfId="0">
      <alignment vertical="center"/>
    </xf>
    <xf applyAlignment="true" applyBorder="false" applyFill="true" applyFont="true" applyNumberFormat="false" applyProtection="false" borderId="20" fillId="20" fontId="3" numFmtId="0" xfId="0">
      <alignment horizontal="center" vertical="center"/>
    </xf>
    <xf applyAlignment="true" applyBorder="false" applyFill="true" applyFont="true" applyNumberFormat="false" applyProtection="false" borderId="20" fillId="20" fontId="4" numFmtId="0" xfId="0">
      <alignment horizontal="center" vertical="center"/>
    </xf>
    <xf applyAlignment="true" applyBorder="false" applyFill="true" applyFont="true" applyNumberFormat="false" applyProtection="false" borderId="20" fillId="20"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0" fillId="20" fontId="3"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20" fillId="21" fontId="5" numFmtId="0" xfId="0">
      <alignment horizontal="center" vertical="center"/>
    </xf>
    <xf applyAlignment="true" applyBorder="false" applyFill="true" applyFont="true" applyNumberFormat="false" applyProtection="false" borderId="20" fillId="21" fontId="3" numFmtId="0" xfId="0">
      <alignment vertical="center" wrapText="true"/>
    </xf>
    <xf applyAlignment="true" applyBorder="false" applyFill="true" applyFont="true" applyNumberFormat="false" applyProtection="false" borderId="20" fillId="21" fontId="3" numFmtId="0" xfId="0">
      <alignment horizontal="center" vertical="center"/>
    </xf>
    <xf applyAlignment="true" applyBorder="false" applyFill="true" applyFont="true" applyNumberFormat="false" applyProtection="false" borderId="20" fillId="21" fontId="4" numFmtId="0" xfId="0">
      <alignment horizontal="center" vertical="center"/>
    </xf>
    <xf applyAlignment="true" applyBorder="false" applyFill="true" applyFont="true" applyNumberFormat="false" applyProtection="false" borderId="20" fillId="21" fontId="3" numFmtId="0" xfId="0">
      <alignment horizontal="center" vertical="center"/>
    </xf>
    <xf applyAlignment="true" applyBorder="false" applyFill="true" applyFont="true" applyNumberFormat="false" applyProtection="false" borderId="20" fillId="22" fontId="5" numFmtId="0" xfId="0">
      <alignment horizontal="center" vertical="center"/>
    </xf>
    <xf applyAlignment="true" applyBorder="false" applyFill="true" applyFont="true" applyNumberFormat="false" applyProtection="false" borderId="20" fillId="22" fontId="3" numFmtId="0" xfId="0">
      <alignment vertical="center" wrapText="true"/>
    </xf>
    <xf applyAlignment="true" applyBorder="false" applyFill="true" applyFont="true" applyNumberFormat="false" applyProtection="false" borderId="20" fillId="22" fontId="3" numFmtId="0" xfId="0">
      <alignment horizontal="center" vertical="center"/>
    </xf>
    <xf applyAlignment="true" applyBorder="false" applyFill="true" applyFont="true" applyNumberFormat="false" applyProtection="false" borderId="20" fillId="22" fontId="4" numFmtId="0" xfId="0">
      <alignment horizontal="center" vertical="center"/>
    </xf>
    <xf applyAlignment="true" applyBorder="false" applyFill="true" applyFont="true" applyNumberFormat="false" applyProtection="false" borderId="20" fillId="22" fontId="3" numFmtId="0" xfId="0">
      <alignment horizontal="center" vertical="center"/>
    </xf>
    <xf applyAlignment="true" applyBorder="false" applyFill="true" applyFont="true" applyNumberFormat="false" applyProtection="false" borderId="20" fillId="19" fontId="5" numFmtId="0" xfId="0">
      <alignment horizontal="center" vertical="center"/>
    </xf>
    <xf applyAlignment="true" applyBorder="false" applyFill="true" applyFont="true" applyNumberFormat="false" applyProtection="false" borderId="20" fillId="19" fontId="3" numFmtId="0" xfId="0">
      <alignment vertical="center"/>
    </xf>
    <xf applyAlignment="true" applyBorder="false" applyFill="true" applyFont="true" applyNumberFormat="false" applyProtection="false" borderId="20" fillId="23" fontId="5" numFmtId="0" xfId="0">
      <alignment horizontal="left" vertical="center"/>
    </xf>
    <xf applyAlignment="true" applyBorder="false" applyFill="true" applyFont="true" applyNumberFormat="false" applyProtection="false" borderId="20" fillId="23" fontId="3" numFmtId="0" xfId="0">
      <alignment vertical="center"/>
    </xf>
    <xf applyAlignment="true" applyBorder="false" applyFill="true" applyFont="true" applyNumberFormat="false" applyProtection="false" borderId="20" fillId="23" fontId="3" numFmtId="0" xfId="0">
      <alignment horizontal="center" vertical="center"/>
    </xf>
    <xf applyAlignment="true" applyBorder="false" applyFill="true" applyFont="true" applyNumberFormat="false" applyProtection="false" borderId="20" fillId="23" fontId="4" numFmtId="0" xfId="0">
      <alignment horizontal="center" vertical="center"/>
    </xf>
    <xf applyAlignment="true" applyBorder="false" applyFill="true" applyFont="true" applyNumberFormat="false" applyProtection="false" borderId="20" fillId="23" fontId="3" numFmtId="0" xfId="0">
      <alignment horizontal="center" vertical="center"/>
    </xf>
    <xf applyAlignment="true" applyBorder="false" applyFill="false" applyFont="true" applyNumberFormat="false" applyProtection="false" borderId="20" fillId="0" fontId="4" numFmtId="0" xfId="0">
      <alignment horizontal="center" vertical="center"/>
    </xf>
    <xf applyAlignment="true" applyBorder="false" applyFill="true" applyFont="true" applyNumberFormat="false" applyProtection="false" borderId="20" fillId="22" fontId="5" numFmtId="0" xfId="0">
      <alignment horizontal="center" vertical="center" wrapText="true"/>
    </xf>
    <xf applyAlignment="true" applyBorder="false" applyFill="true" applyFont="true" applyNumberFormat="false" applyProtection="false" borderId="20" fillId="22" fontId="3" numFmtId="0" xfId="0">
      <alignment vertical="center"/>
    </xf>
    <xf applyAlignment="true" applyBorder="false" applyFill="false" applyFont="true" applyNumberFormat="false" applyProtection="false" borderId="20" fillId="0" fontId="3" numFmtId="0" xfId="0">
      <alignment horizontal="center" vertical="center"/>
    </xf>
    <xf applyAlignment="true" applyBorder="false" applyFill="true" applyFont="true" applyNumberFormat="false" applyProtection="false" borderId="20" fillId="24" fontId="3" numFmtId="0" xfId="0">
      <alignment horizontal="center" vertical="center"/>
    </xf>
    <xf applyAlignment="true" applyBorder="false" applyFill="true" applyFont="true" applyNumberFormat="false" applyProtection="false" borderId="20" fillId="24" fontId="3" numFmtId="0" xfId="0">
      <alignment vertical="center"/>
    </xf>
    <xf applyAlignment="true" applyBorder="false" applyFill="true" applyFont="true" applyNumberFormat="false" applyProtection="false" borderId="21" fillId="24" fontId="3" numFmtId="0" xfId="0">
      <alignment horizontal="center" vertical="center"/>
    </xf>
    <xf applyAlignment="true" applyBorder="false" applyFill="true" applyFont="true" applyNumberFormat="false" applyProtection="false" borderId="21" fillId="24" fontId="4" numFmtId="0" xfId="0">
      <alignment horizontal="center" vertical="center"/>
    </xf>
    <xf applyAlignment="true" applyBorder="false" applyFill="true" applyFont="true" applyNumberFormat="false" applyProtection="false" borderId="21" fillId="24" fontId="4" numFmtId="0" xfId="0">
      <alignment horizontal="center" vertical="center"/>
    </xf>
    <xf applyAlignment="true" applyBorder="false" applyFill="true" applyFont="true" applyNumberFormat="false" applyProtection="false" borderId="20" fillId="24" fontId="3" numFmtId="0" xfId="0">
      <alignment horizontal="center" vertical="center"/>
    </xf>
    <xf applyAlignment="true" applyBorder="false" applyFill="false" applyFont="true" applyNumberFormat="false" applyProtection="false" borderId="22" fillId="0" fontId="4" numFmtId="0" xfId="0">
      <alignment horizontal="center" vertical="center" wrapText="true"/>
    </xf>
    <xf applyAlignment="true" applyBorder="false" applyFill="false" applyFont="true" applyNumberFormat="false" applyProtection="false" borderId="20" fillId="0" fontId="3" numFmtId="0" xfId="0">
      <alignment horizontal="center" vertical="center"/>
    </xf>
    <xf applyAlignment="true" applyBorder="false" applyFill="false" applyFont="true" applyNumberFormat="false" applyProtection="false" borderId="23" fillId="0" fontId="3" numFmtId="0" xfId="0">
      <alignment horizontal="center" vertical="center"/>
    </xf>
    <xf applyAlignment="true" applyBorder="false" applyFill="true" applyFont="true" applyNumberFormat="false" applyProtection="false" borderId="20" fillId="25" fontId="3" numFmtId="0" xfId="0">
      <alignment horizontal="center" vertical="center"/>
    </xf>
    <xf applyAlignment="true" applyBorder="false" applyFill="true" applyFont="true" applyNumberFormat="false" applyProtection="false" borderId="22" fillId="25" fontId="3" numFmtId="0" xfId="0">
      <alignment horizontal="left" vertical="center" wrapText="true"/>
    </xf>
    <xf applyAlignment="true" applyBorder="false" applyFill="true" applyFont="true" applyNumberFormat="false" applyProtection="false" borderId="24" fillId="25" fontId="3" numFmtId="0" xfId="0">
      <alignment horizontal="center" vertical="center"/>
    </xf>
    <xf applyAlignment="true" applyBorder="false" applyFill="true" applyFont="true" applyNumberFormat="false" applyProtection="false" borderId="24" fillId="25" fontId="4" numFmtId="0" xfId="0">
      <alignment horizontal="center" vertical="center"/>
    </xf>
    <xf applyAlignment="true" applyBorder="false" applyFill="true" applyFont="true" applyNumberFormat="false" applyProtection="false" borderId="23" fillId="25" fontId="3" numFmtId="0" xfId="0">
      <alignment horizontal="center" vertical="center"/>
    </xf>
    <xf applyAlignment="true" applyBorder="false" applyFill="false" applyFont="true" applyNumberFormat="false" applyProtection="false" borderId="20" fillId="0" fontId="4" numFmtId="0" xfId="0">
      <alignment horizontal="center" vertical="center"/>
    </xf>
    <xf applyAlignment="true" applyBorder="false" applyFill="false" applyFont="true" applyNumberFormat="false" applyProtection="false" borderId="24" fillId="0" fontId="3" numFmtId="0" xfId="0">
      <alignment horizontal="center" vertical="center"/>
    </xf>
    <xf applyAlignment="true" applyBorder="false" applyFill="false" applyFont="true" applyNumberFormat="false" applyProtection="false" borderId="24" fillId="0" fontId="4" numFmtId="0" xfId="0">
      <alignment horizontal="center" vertical="center"/>
    </xf>
    <xf applyAlignment="true" applyBorder="false" applyFill="false" applyFont="true" applyNumberFormat="false" applyProtection="false" borderId="24" fillId="0" fontId="4" numFmtId="0" xfId="0">
      <alignment vertical="center"/>
    </xf>
    <xf applyAlignment="true" applyBorder="false" applyFill="true" applyFont="true" applyNumberFormat="false" applyProtection="false" borderId="20" fillId="24" fontId="3" numFmtId="0" xfId="0">
      <alignment horizontal="left" vertical="center" wrapText="true"/>
    </xf>
    <xf applyAlignment="true" applyBorder="false" applyFill="true" applyFont="true" applyNumberFormat="false" applyProtection="false" borderId="20" fillId="24" fontId="4" numFmtId="0" xfId="0">
      <alignment horizontal="center" vertical="center"/>
    </xf>
    <xf applyAlignment="true" applyBorder="false" applyFill="false" applyFont="true" applyNumberFormat="false" applyProtection="false" borderId="20" fillId="0" fontId="4" numFmtId="0" xfId="0">
      <alignment vertical="center"/>
    </xf>
    <xf applyAlignment="true" applyBorder="false" applyFill="true" applyFont="true" applyNumberFormat="false" applyProtection="false" borderId="0" fillId="20" fontId="5" numFmtId="0" xfId="0">
      <alignment horizontal="center" vertical="center"/>
    </xf>
    <xf applyAlignment="true" applyBorder="false" applyFill="true" applyFont="true" applyNumberFormat="false" applyProtection="false" borderId="20" fillId="20" fontId="3" numFmtId="0" xfId="0">
      <alignment horizontal="left" vertical="center" wrapText="true"/>
    </xf>
    <xf applyAlignment="true" applyBorder="false" applyFill="true" applyFont="true" applyNumberFormat="false" applyProtection="false" borderId="0" fillId="21" fontId="5" numFmtId="0" xfId="0">
      <alignment horizontal="center" vertical="center"/>
    </xf>
    <xf applyAlignment="true" applyBorder="false" applyFill="true" applyFont="true" applyNumberFormat="false" applyProtection="false" borderId="20" fillId="21" fontId="3" numFmtId="0" xfId="0">
      <alignment horizontal="left" vertical="center" wrapText="true"/>
    </xf>
    <xf applyAlignment="true" applyBorder="false" applyFill="false" applyFont="true" applyNumberFormat="false" applyProtection="false" borderId="20" fillId="0" fontId="3" numFmtId="0" xfId="0">
      <alignment horizontal="left" vertical="center" wrapText="true"/>
    </xf>
    <xf applyAlignment="true" applyBorder="false" applyFill="true" applyFont="true" applyNumberFormat="false" applyProtection="false" borderId="20" fillId="26" fontId="3" numFmtId="0" xfId="0">
      <alignment horizontal="center" vertical="center"/>
    </xf>
    <xf applyAlignment="true" applyBorder="false" applyFill="true" applyFont="true" applyNumberFormat="false" applyProtection="false" borderId="20" fillId="26" fontId="3" numFmtId="0" xfId="0">
      <alignment horizontal="center" vertical="center"/>
    </xf>
    <xf applyAlignment="true" applyBorder="false" applyFill="true" applyFont="true" applyNumberFormat="false" applyProtection="false" borderId="20" fillId="26" fontId="4" numFmtId="0" xfId="0">
      <alignment horizontal="center" vertical="center"/>
    </xf>
    <xf applyAlignment="true" applyBorder="false" applyFill="true" applyFont="true" applyNumberFormat="false" applyProtection="false" borderId="20" fillId="26" fontId="4" numFmtId="0" xfId="0">
      <alignment vertical="center"/>
    </xf>
    <xf applyAlignment="true" applyBorder="false" applyFill="false" applyFont="true" applyNumberFormat="false" applyProtection="false" borderId="20" fillId="0" fontId="4" numFmtId="0" xfId="0">
      <alignment vertical="center"/>
    </xf>
    <xf applyAlignment="true" applyBorder="false" applyFill="false" applyFont="true" applyNumberFormat="false" applyProtection="false" borderId="24" fillId="0" fontId="4" numFmtId="0" xfId="0">
      <alignment vertical="center"/>
    </xf>
    <xf applyAlignment="true" applyBorder="false" applyFill="false" applyFont="true" applyNumberFormat="false" applyProtection="false" borderId="24" fillId="0" fontId="4" numFmtId="0" xfId="0">
      <alignment vertical="center"/>
    </xf>
    <xf applyAlignment="true" applyBorder="false" applyFill="false" applyFont="true" applyNumberFormat="false" applyProtection="false" borderId="25" fillId="0" fontId="2" numFmtId="0" xfId="0">
      <alignment vertical="center"/>
    </xf>
    <xf applyAlignment="true" applyBorder="false" applyFill="false" applyFont="true" applyNumberFormat="false" applyProtection="false" borderId="26" fillId="0" fontId="2" numFmtId="0" xfId="0">
      <alignment vertical="center"/>
    </xf>
    <xf applyAlignment="true" applyBorder="false" applyFill="false" applyFont="true" applyNumberFormat="false" applyProtection="false" borderId="21" fillId="0" fontId="4" numFmtId="0" xfId="0">
      <alignment vertical="center"/>
    </xf>
    <xf applyAlignment="true" applyBorder="false" applyFill="false" applyFont="true" applyNumberFormat="false" applyProtection="false" borderId="18" fillId="0" fontId="2" numFmtId="0" xfId="0">
      <alignment vertical="center"/>
    </xf>
    <xf applyAlignment="true" applyBorder="false" applyFill="false" applyFont="true" applyNumberFormat="false" applyProtection="false" borderId="20" fillId="0" fontId="2" numFmtId="0" xfId="0">
      <alignment vertical="center"/>
    </xf>
    <xf applyAlignment="true" applyBorder="false" applyFill="false" applyFont="true" applyNumberFormat="false" applyProtection="false" borderId="23" fillId="0" fontId="4" numFmtId="0" xfId="0">
      <alignment vertical="center"/>
    </xf>
    <xf applyAlignment="true" applyBorder="false" applyFill="false" applyFont="true" applyNumberFormat="false" applyProtection="false" borderId="27" fillId="0" fontId="1" numFmtId="0" xfId="0">
      <alignment horizontal="center" vertical="center" wrapText="true"/>
    </xf>
    <xf applyAlignment="true" applyBorder="false" applyFill="false" applyFont="true" applyNumberFormat="true" applyProtection="false" borderId="27" fillId="0" fontId="1" numFmtId="167" xfId="0">
      <alignment horizontal="center" vertical="center" wrapText="true"/>
    </xf>
    <xf applyAlignment="true" applyBorder="false" applyFill="false" applyFont="true" applyNumberFormat="false" applyProtection="false" borderId="28" fillId="0" fontId="1" numFmtId="0" xfId="0">
      <alignment horizontal="center" vertical="center" wrapText="true"/>
    </xf>
    <xf applyAlignment="true" applyBorder="false" applyFill="false" applyFont="true" applyNumberFormat="false" applyProtection="false" borderId="27" fillId="0" fontId="1"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29" fillId="27" fontId="3" numFmtId="0" xfId="0">
      <alignment horizontal="center" vertical="center"/>
    </xf>
    <xf applyAlignment="true" applyBorder="false" applyFill="true" applyFont="true" applyNumberFormat="false" applyProtection="false" borderId="29" fillId="27" fontId="3" numFmtId="0" xfId="0">
      <alignment vertical="center" wrapText="true"/>
    </xf>
    <xf applyAlignment="true" applyBorder="false" applyFill="true" applyFont="true" applyNumberFormat="false" applyProtection="false" borderId="29" fillId="27" fontId="4" numFmtId="0" xfId="0">
      <alignment horizontal="center" vertical="center"/>
    </xf>
    <xf applyAlignment="true" applyBorder="false" applyFill="true" applyFont="true" applyNumberFormat="false" applyProtection="false" borderId="29" fillId="27" fontId="4" numFmtId="0" xfId="0">
      <alignment horizontal="center" vertical="center"/>
    </xf>
    <xf applyAlignment="true" applyBorder="false" applyFill="true" applyFont="true" applyNumberFormat="false" applyProtection="false" borderId="29" fillId="27"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9" fillId="0" fontId="4" numFmtId="0" xfId="0">
      <alignment horizontal="center" vertical="center" wrapText="true"/>
    </xf>
    <xf applyAlignment="true" applyBorder="false" applyFill="false" applyFont="true" applyNumberFormat="false" applyProtection="false" borderId="29" fillId="0" fontId="3" numFmtId="0" xfId="0">
      <alignment horizontal="center" vertical="center"/>
    </xf>
    <xf applyAlignment="true" applyBorder="false" applyFill="false" applyFont="true" applyNumberFormat="false" applyProtection="false" borderId="29" fillId="0" fontId="4" numFmtId="0" xfId="0">
      <alignment horizontal="center" vertical="center"/>
    </xf>
    <xf applyAlignment="true" applyBorder="false" applyFill="false" applyFont="true" applyNumberFormat="false" applyProtection="false" borderId="29" fillId="0" fontId="4" numFmtId="0" xfId="0">
      <alignment vertical="center"/>
    </xf>
    <xf applyAlignment="true" applyBorder="false" applyFill="true" applyFont="true" applyNumberFormat="false" applyProtection="false" borderId="29" fillId="28" fontId="3" numFmtId="0" xfId="0">
      <alignment horizontal="center" vertical="center" wrapText="true"/>
    </xf>
    <xf applyAlignment="true" applyBorder="false" applyFill="true" applyFont="true" applyNumberFormat="false" applyProtection="false" borderId="29" fillId="28" fontId="3" numFmtId="0" xfId="0">
      <alignment vertical="center" wrapText="true"/>
    </xf>
    <xf applyAlignment="true" applyBorder="false" applyFill="true" applyFont="true" applyNumberFormat="false" applyProtection="false" borderId="29" fillId="28" fontId="3" numFmtId="0" xfId="0">
      <alignment horizontal="center" vertical="center"/>
    </xf>
    <xf applyAlignment="true" applyBorder="false" applyFill="true" applyFont="true" applyNumberFormat="false" applyProtection="false" borderId="29" fillId="28" fontId="4" numFmtId="0" xfId="0">
      <alignment horizontal="center" vertical="center"/>
    </xf>
    <xf applyAlignment="true" applyBorder="false" applyFill="true" applyFont="true" applyNumberFormat="false" applyProtection="false" borderId="29" fillId="28" fontId="4" numFmtId="0" xfId="0">
      <alignment horizontal="center" vertical="center"/>
    </xf>
    <xf applyAlignment="true" applyBorder="false" applyFill="true" applyFont="true" applyNumberFormat="false" applyProtection="false" borderId="29" fillId="28"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29" fillId="29" fontId="5" numFmtId="0" xfId="0">
      <alignment horizontal="center" vertical="center"/>
    </xf>
    <xf applyAlignment="true" applyBorder="false" applyFill="true" applyFont="true" applyNumberFormat="false" applyProtection="false" borderId="29" fillId="29" fontId="3" numFmtId="0" xfId="0">
      <alignment vertical="center" wrapText="true"/>
    </xf>
    <xf applyAlignment="true" applyBorder="false" applyFill="true" applyFont="true" applyNumberFormat="false" applyProtection="false" borderId="29" fillId="29" fontId="3" numFmtId="0" xfId="0">
      <alignment horizontal="center" vertical="center"/>
    </xf>
    <xf applyAlignment="true" applyBorder="false" applyFill="true" applyFont="true" applyNumberFormat="false" applyProtection="false" borderId="29" fillId="29" fontId="4" numFmtId="0" xfId="0">
      <alignment horizontal="center" vertical="center"/>
    </xf>
    <xf applyAlignment="true" applyBorder="false" applyFill="true" applyFont="true" applyNumberFormat="false" applyProtection="false" borderId="29" fillId="29" fontId="4" numFmtId="0" xfId="0">
      <alignment horizontal="center" vertical="center"/>
    </xf>
    <xf applyAlignment="true" applyBorder="false" applyFill="true" applyFont="true" applyNumberFormat="false" applyProtection="false" borderId="29" fillId="29" fontId="3" numFmtId="0" xfId="0">
      <alignment horizontal="center" vertical="center"/>
    </xf>
    <xf applyAlignment="true" applyBorder="false" applyFill="true" applyFont="true" applyNumberFormat="false" applyProtection="false" borderId="29" fillId="30" fontId="5" numFmtId="0" xfId="0">
      <alignment horizontal="center" vertical="center"/>
    </xf>
    <xf applyAlignment="true" applyBorder="false" applyFill="true" applyFont="true" applyNumberFormat="false" applyProtection="false" borderId="29" fillId="30" fontId="3" numFmtId="0" xfId="0">
      <alignment vertical="center" wrapText="true"/>
    </xf>
    <xf applyAlignment="true" applyBorder="false" applyFill="true" applyFont="true" applyNumberFormat="false" applyProtection="false" borderId="29" fillId="30" fontId="3" numFmtId="0" xfId="0">
      <alignment horizontal="center" vertical="center"/>
    </xf>
    <xf applyAlignment="true" applyBorder="false" applyFill="true" applyFont="true" applyNumberFormat="false" applyProtection="false" borderId="29" fillId="30" fontId="4" numFmtId="0" xfId="0">
      <alignment horizontal="center" vertical="center"/>
    </xf>
    <xf applyAlignment="true" applyBorder="false" applyFill="true" applyFont="true" applyNumberFormat="false" applyProtection="false" borderId="29" fillId="30" fontId="4" numFmtId="0" xfId="0">
      <alignment horizontal="center" vertical="center"/>
    </xf>
    <xf applyAlignment="true" applyBorder="false" applyFill="true" applyFont="true" applyNumberFormat="false" applyProtection="false" borderId="29" fillId="30" fontId="3" numFmtId="0" xfId="0">
      <alignment horizontal="center" vertical="center"/>
    </xf>
    <xf applyAlignment="true" applyBorder="false" applyFill="true" applyFont="true" applyNumberFormat="false" applyProtection="false" borderId="29" fillId="27" fontId="5" numFmtId="0" xfId="0">
      <alignment horizontal="center" vertical="center"/>
    </xf>
    <xf applyAlignment="true" applyBorder="false" applyFill="true" applyFont="true" applyNumberFormat="false" applyProtection="false" borderId="29" fillId="27" fontId="3" numFmtId="0" xfId="0">
      <alignment vertical="center"/>
    </xf>
    <xf applyAlignment="true" applyBorder="false" applyFill="true" applyFont="true" applyNumberFormat="false" applyProtection="false" borderId="29" fillId="31" fontId="5" numFmtId="0" xfId="0">
      <alignment horizontal="center" vertical="center"/>
    </xf>
    <xf applyAlignment="true" applyBorder="false" applyFill="true" applyFont="true" applyNumberFormat="false" applyProtection="false" borderId="29" fillId="31" fontId="3" numFmtId="0" xfId="0">
      <alignment vertical="center"/>
    </xf>
    <xf applyAlignment="true" applyBorder="false" applyFill="true" applyFont="true" applyNumberFormat="false" applyProtection="false" borderId="29" fillId="31" fontId="3" numFmtId="0" xfId="0">
      <alignment horizontal="center" vertical="center"/>
    </xf>
    <xf applyAlignment="true" applyBorder="false" applyFill="true" applyFont="true" applyNumberFormat="false" applyProtection="false" borderId="29" fillId="31" fontId="4" numFmtId="0" xfId="0">
      <alignment horizontal="center" vertical="center"/>
    </xf>
    <xf applyAlignment="true" applyBorder="false" applyFill="true" applyFont="true" applyNumberFormat="false" applyProtection="false" borderId="29" fillId="31" fontId="4" numFmtId="0" xfId="0">
      <alignment horizontal="center" vertical="center"/>
    </xf>
    <xf applyAlignment="true" applyBorder="false" applyFill="true" applyFont="true" applyNumberFormat="false" applyProtection="false" borderId="29" fillId="31" fontId="3" numFmtId="0" xfId="0">
      <alignment horizontal="center" vertical="center"/>
    </xf>
    <xf applyAlignment="true" applyBorder="false" applyFill="false" applyFont="true" applyNumberFormat="false" applyProtection="false" borderId="29" fillId="0" fontId="4" numFmtId="0" xfId="0">
      <alignment horizontal="center" vertical="center"/>
    </xf>
    <xf applyAlignment="true" applyBorder="false" applyFill="true" applyFont="true" applyNumberFormat="false" applyProtection="false" borderId="29" fillId="30" fontId="5" numFmtId="0" xfId="0">
      <alignment horizontal="center" vertical="center" wrapText="true"/>
    </xf>
    <xf applyAlignment="true" applyBorder="false" applyFill="true" applyFont="true" applyNumberFormat="false" applyProtection="false" borderId="29" fillId="30" fontId="3" numFmtId="0" xfId="0">
      <alignment vertical="center"/>
    </xf>
    <xf applyAlignment="true" applyBorder="false" applyFill="false" applyFont="true" applyNumberFormat="false" applyProtection="false" borderId="29" fillId="0" fontId="3" numFmtId="0" xfId="0">
      <alignment horizontal="center" vertical="center"/>
    </xf>
    <xf applyAlignment="true" applyBorder="false" applyFill="true" applyFont="true" applyNumberFormat="false" applyProtection="false" borderId="29" fillId="32" fontId="3" numFmtId="0" xfId="0">
      <alignment horizontal="center" vertical="center"/>
    </xf>
    <xf applyAlignment="true" applyBorder="false" applyFill="true" applyFont="true" applyNumberFormat="false" applyProtection="false" borderId="29" fillId="32" fontId="3" numFmtId="0" xfId="0">
      <alignment vertical="center"/>
    </xf>
    <xf applyAlignment="true" applyBorder="false" applyFill="true" applyFont="true" applyNumberFormat="false" applyProtection="false" borderId="30" fillId="32" fontId="3" numFmtId="0" xfId="0">
      <alignment horizontal="center" vertical="center"/>
    </xf>
    <xf applyAlignment="true" applyBorder="false" applyFill="true" applyFont="true" applyNumberFormat="false" applyProtection="false" borderId="30" fillId="32" fontId="4" numFmtId="0" xfId="0">
      <alignment horizontal="center" vertical="center"/>
    </xf>
    <xf applyAlignment="true" applyBorder="false" applyFill="true" applyFont="true" applyNumberFormat="false" applyProtection="false" borderId="29" fillId="32" fontId="3" numFmtId="0" xfId="0">
      <alignment horizontal="center" vertical="center"/>
    </xf>
    <xf applyAlignment="true" applyBorder="false" applyFill="false" applyFont="true" applyNumberFormat="false" applyProtection="false" borderId="31" fillId="0" fontId="4" numFmtId="0" xfId="0">
      <alignment horizontal="center" vertical="center" wrapText="true"/>
    </xf>
    <xf applyAlignment="true" applyBorder="false" applyFill="false" applyFont="true" applyNumberFormat="false" applyProtection="false" borderId="29" fillId="0" fontId="3" numFmtId="0" xfId="0">
      <alignment horizontal="center" vertical="center"/>
    </xf>
    <xf applyAlignment="true" applyBorder="false" applyFill="false" applyFont="true" applyNumberFormat="false" applyProtection="false" borderId="32" fillId="0" fontId="3" numFmtId="0" xfId="0">
      <alignment horizontal="center" vertical="center"/>
    </xf>
    <xf applyAlignment="true" applyBorder="false" applyFill="true" applyFont="true" applyNumberFormat="false" applyProtection="false" borderId="29" fillId="33" fontId="3" numFmtId="0" xfId="0">
      <alignment horizontal="center" vertical="center"/>
    </xf>
    <xf applyAlignment="true" applyBorder="false" applyFill="true" applyFont="true" applyNumberFormat="false" applyProtection="false" borderId="31" fillId="33" fontId="3" numFmtId="0" xfId="0">
      <alignment horizontal="left" vertical="center" wrapText="true"/>
    </xf>
    <xf applyAlignment="true" applyBorder="false" applyFill="true" applyFont="true" applyNumberFormat="false" applyProtection="false" borderId="33" fillId="33" fontId="3" numFmtId="0" xfId="0">
      <alignment horizontal="center" vertical="center"/>
    </xf>
    <xf applyAlignment="true" applyBorder="false" applyFill="true" applyFont="true" applyNumberFormat="false" applyProtection="false" borderId="33" fillId="33" fontId="4" numFmtId="0" xfId="0">
      <alignment horizontal="center" vertical="center"/>
    </xf>
    <xf applyAlignment="true" applyBorder="false" applyFill="true" applyFont="true" applyNumberFormat="false" applyProtection="false" borderId="33" fillId="33" fontId="4" numFmtId="0" xfId="0">
      <alignment vertical="center"/>
    </xf>
    <xf applyAlignment="true" applyBorder="false" applyFill="true" applyFont="true" applyNumberFormat="false" applyProtection="false" borderId="32" fillId="33" fontId="3" numFmtId="0" xfId="0">
      <alignment horizontal="center" vertical="center"/>
    </xf>
    <xf applyAlignment="true" applyBorder="false" applyFill="false" applyFont="true" applyNumberFormat="false" applyProtection="false" borderId="29" fillId="0" fontId="4" numFmtId="0" xfId="0">
      <alignment horizontal="center" vertical="center"/>
    </xf>
    <xf applyAlignment="true" applyBorder="false" applyFill="false" applyFont="true" applyNumberFormat="false" applyProtection="false" borderId="33" fillId="0" fontId="3" numFmtId="0" xfId="0">
      <alignment horizontal="center" vertical="center"/>
    </xf>
    <xf applyAlignment="true" applyBorder="false" applyFill="false" applyFont="true" applyNumberFormat="false" applyProtection="false" borderId="33" fillId="0" fontId="4" numFmtId="0" xfId="0">
      <alignment horizontal="center" vertical="center"/>
    </xf>
    <xf applyAlignment="true" applyBorder="false" applyFill="false" applyFont="true" applyNumberFormat="false" applyProtection="false" borderId="33" fillId="0" fontId="4" numFmtId="0" xfId="0">
      <alignment vertical="center"/>
    </xf>
    <xf applyAlignment="true" applyBorder="false" applyFill="true" applyFont="true" applyNumberFormat="false" applyProtection="false" borderId="29" fillId="32" fontId="3" numFmtId="0" xfId="0">
      <alignment horizontal="left" vertical="center" wrapText="true"/>
    </xf>
    <xf applyAlignment="true" applyBorder="false" applyFill="true" applyFont="true" applyNumberFormat="false" applyProtection="false" borderId="29" fillId="32" fontId="4" numFmtId="0" xfId="0">
      <alignment horizontal="center" vertical="center"/>
    </xf>
    <xf applyAlignment="true" applyBorder="false" applyFill="true" applyFont="true" applyNumberFormat="false" applyProtection="false" borderId="29" fillId="32" fontId="4" numFmtId="0" xfId="0">
      <alignment horizontal="center" vertical="center"/>
    </xf>
    <xf applyAlignment="true" applyBorder="false" applyFill="false" applyFont="true" applyNumberFormat="false" applyProtection="false" borderId="29" fillId="0" fontId="4" numFmtId="0" xfId="0">
      <alignment vertical="center"/>
    </xf>
    <xf applyAlignment="true" applyBorder="false" applyFill="true" applyFont="true" applyNumberFormat="false" applyProtection="false" borderId="0" fillId="28" fontId="5" numFmtId="0" xfId="0">
      <alignment horizontal="center" vertical="center"/>
    </xf>
    <xf applyAlignment="true" applyBorder="false" applyFill="true" applyFont="true" applyNumberFormat="false" applyProtection="false" borderId="29" fillId="28" fontId="3" numFmtId="0" xfId="0">
      <alignment horizontal="left" vertical="center" wrapText="true"/>
    </xf>
    <xf applyAlignment="true" applyBorder="false" applyFill="true" applyFont="true" applyNumberFormat="false" applyProtection="false" borderId="29" fillId="28" fontId="4" numFmtId="0" xfId="0">
      <alignment vertical="center"/>
    </xf>
    <xf applyAlignment="true" applyBorder="false" applyFill="true" applyFont="true" applyNumberFormat="false" applyProtection="false" borderId="0" fillId="29" fontId="5" numFmtId="0" xfId="0">
      <alignment horizontal="center" vertical="center"/>
    </xf>
    <xf applyAlignment="true" applyBorder="false" applyFill="true" applyFont="true" applyNumberFormat="false" applyProtection="false" borderId="29" fillId="29" fontId="3" numFmtId="0" xfId="0">
      <alignment horizontal="left" vertical="center" wrapText="true"/>
    </xf>
    <xf applyAlignment="true" applyBorder="false" applyFill="true" applyFont="true" applyNumberFormat="false" applyProtection="false" borderId="29" fillId="29" fontId="4" numFmtId="0" xfId="0">
      <alignment vertical="center"/>
    </xf>
    <xf applyAlignment="true" applyBorder="false" applyFill="false" applyFont="true" applyNumberFormat="false" applyProtection="false" borderId="29" fillId="0" fontId="3" numFmtId="0" xfId="0">
      <alignment horizontal="left" vertical="center" wrapText="true"/>
    </xf>
    <xf applyAlignment="true" applyBorder="false" applyFill="false" applyFont="true" applyNumberFormat="false" applyProtection="false" borderId="29" fillId="0" fontId="3" numFmtId="0" xfId="0">
      <alignment horizontal="left" vertical="center"/>
    </xf>
    <xf applyAlignment="true" applyBorder="false" applyFill="true" applyFont="true" applyNumberFormat="false" applyProtection="false" borderId="29" fillId="34" fontId="3" numFmtId="0" xfId="0">
      <alignment horizontal="center" vertical="center"/>
    </xf>
    <xf applyAlignment="true" applyBorder="false" applyFill="true" applyFont="true" applyNumberFormat="false" applyProtection="false" borderId="29" fillId="34" fontId="3" numFmtId="0" xfId="0">
      <alignment horizontal="center" vertical="center"/>
    </xf>
    <xf applyAlignment="true" applyBorder="false" applyFill="true" applyFont="true" applyNumberFormat="false" applyProtection="false" borderId="29" fillId="34" fontId="4" numFmtId="0" xfId="0">
      <alignment horizontal="center" vertical="center"/>
    </xf>
    <xf applyAlignment="true" applyBorder="false" applyFill="true" applyFont="true" applyNumberFormat="false" applyProtection="false" borderId="29" fillId="34" fontId="4" numFmtId="0" xfId="0">
      <alignment vertical="center"/>
    </xf>
    <xf applyAlignment="true" applyBorder="false" applyFill="false" applyFont="true" applyNumberFormat="false" applyProtection="false" borderId="29" fillId="0" fontId="4" numFmtId="0" xfId="0">
      <alignment vertical="center"/>
    </xf>
    <xf applyAlignment="true" applyBorder="false" applyFill="false" applyFont="true" applyNumberFormat="false" applyProtection="false" borderId="33" fillId="0" fontId="4" numFmtId="0" xfId="0">
      <alignment vertical="center"/>
    </xf>
    <xf applyAlignment="true" applyBorder="false" applyFill="false" applyFont="true" applyNumberFormat="false" applyProtection="false" borderId="33" fillId="0" fontId="4" numFmtId="0" xfId="0">
      <alignment vertical="center"/>
    </xf>
    <xf applyAlignment="true" applyBorder="false" applyFill="false" applyFont="true" applyNumberFormat="false" applyProtection="false" borderId="34" fillId="0" fontId="2" numFmtId="0" xfId="0">
      <alignment vertical="center"/>
    </xf>
    <xf applyAlignment="true" applyBorder="false" applyFill="false" applyFont="true" applyNumberFormat="false" applyProtection="false" borderId="35" fillId="0" fontId="2" numFmtId="0" xfId="0">
      <alignment vertical="center"/>
    </xf>
    <xf applyAlignment="true" applyBorder="false" applyFill="false" applyFont="true" applyNumberFormat="false" applyProtection="false" borderId="30" fillId="0" fontId="4" numFmtId="0" xfId="0">
      <alignment vertical="center"/>
    </xf>
    <xf applyAlignment="true" applyBorder="false" applyFill="false" applyFont="true" applyNumberFormat="false" applyProtection="false" borderId="27" fillId="0" fontId="2" numFmtId="0" xfId="0">
      <alignment vertical="center"/>
    </xf>
    <xf applyAlignment="true" applyBorder="false" applyFill="false" applyFont="true" applyNumberFormat="false" applyProtection="false" borderId="29" fillId="0" fontId="2" numFmtId="0" xfId="0">
      <alignment vertical="center"/>
    </xf>
    <xf applyAlignment="true" applyBorder="false" applyFill="false" applyFont="true" applyNumberFormat="false" applyProtection="false" borderId="32" fillId="0" fontId="4" numFmtId="0" xfId="0">
      <alignment vertical="center"/>
    </xf>
    <xf applyAlignment="true" applyBorder="false" applyFill="false" applyFont="true" applyNumberFormat="false" applyProtection="false" borderId="35" fillId="0" fontId="2" numFmtId="0" xfId="0">
      <alignment vertical="center"/>
    </xf>
    <xf applyAlignment="true" applyBorder="false" applyFill="false" applyFont="true" applyNumberFormat="false" applyProtection="false" borderId="29" fillId="0" fontId="4" numFmtId="0" xfId="0">
      <alignment vertical="center"/>
    </xf>
    <xf applyAlignment="true" applyBorder="false" applyFill="false" applyFont="true" applyNumberFormat="false" applyProtection="false" borderId="36" fillId="0" fontId="1" numFmtId="0" xfId="0">
      <alignment horizontal="center" vertical="center" wrapText="true"/>
    </xf>
    <xf applyAlignment="true" applyBorder="false" applyFill="false" applyFont="true" applyNumberFormat="true" applyProtection="false" borderId="36" fillId="0" fontId="1" numFmtId="168" xfId="0">
      <alignment horizontal="center" vertical="center" wrapText="true"/>
    </xf>
    <xf applyAlignment="true" applyBorder="false" applyFill="false" applyFont="true" applyNumberFormat="false" applyProtection="false" borderId="37" fillId="0" fontId="1" numFmtId="0" xfId="0">
      <alignment horizontal="center" vertical="center" wrapText="true"/>
    </xf>
    <xf applyAlignment="true" applyBorder="false" applyFill="false" applyFont="true" applyNumberFormat="false" applyProtection="false" borderId="36" fillId="0" fontId="1" numFmtId="0" xfId="0">
      <alignment horizontal="center" vertical="center" wrapText="true"/>
    </xf>
    <xf applyAlignment="true" applyBorder="false" applyFill="false" applyFont="true" applyNumberFormat="false" applyProtection="false" borderId="38" fillId="0" fontId="6" numFmtId="0" xfId="0">
      <alignment vertical="center" wrapText="true"/>
    </xf>
    <xf applyAlignment="true" applyBorder="false" applyFill="true" applyFont="true" applyNumberFormat="false" applyProtection="false" borderId="39" fillId="35" fontId="3" numFmtId="0" xfId="0">
      <alignment horizontal="center" vertical="center"/>
    </xf>
    <xf applyAlignment="true" applyBorder="false" applyFill="true" applyFont="true" applyNumberFormat="false" applyProtection="false" borderId="39" fillId="35" fontId="3" numFmtId="0" xfId="0">
      <alignment vertical="center" wrapText="true"/>
    </xf>
    <xf applyAlignment="true" applyBorder="false" applyFill="true" applyFont="true" applyNumberFormat="false" applyProtection="false" borderId="39" fillId="35" fontId="4" numFmtId="0" xfId="0">
      <alignment horizontal="center" vertical="center"/>
    </xf>
    <xf applyAlignment="true" applyBorder="false" applyFill="true" applyFont="true" applyNumberFormat="false" applyProtection="false" borderId="39" fillId="35"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39" fillId="0" fontId="4" numFmtId="0" xfId="0">
      <alignment horizontal="center" vertical="center" wrapText="true"/>
    </xf>
    <xf applyAlignment="true" applyBorder="false" applyFill="false" applyFont="true" applyNumberFormat="false" applyProtection="false" borderId="39" fillId="0" fontId="3" numFmtId="0" xfId="0">
      <alignment horizontal="center" vertical="center"/>
    </xf>
    <xf applyAlignment="true" applyBorder="false" applyFill="false" applyFont="true" applyNumberFormat="false" applyProtection="false" borderId="39" fillId="0" fontId="4" numFmtId="0" xfId="0">
      <alignment horizontal="center" vertical="center"/>
    </xf>
    <xf applyAlignment="true" applyBorder="false" applyFill="false" applyFont="true" applyNumberFormat="false" applyProtection="false" borderId="39" fillId="0" fontId="4" numFmtId="0" xfId="0">
      <alignment vertical="center"/>
    </xf>
    <xf applyAlignment="true" applyBorder="false" applyFill="false" applyFont="true" applyNumberFormat="false" applyProtection="false" borderId="39" fillId="0" fontId="3" numFmtId="0" xfId="0">
      <alignment horizontal="center" vertical="center"/>
    </xf>
    <xf applyAlignment="true" applyBorder="false" applyFill="true" applyFont="true" applyNumberFormat="false" applyProtection="false" borderId="39" fillId="36" fontId="3" numFmtId="0" xfId="0">
      <alignment horizontal="center" vertical="center" wrapText="true"/>
    </xf>
    <xf applyAlignment="true" applyBorder="false" applyFill="true" applyFont="true" applyNumberFormat="false" applyProtection="false" borderId="39" fillId="36" fontId="3" numFmtId="0" xfId="0">
      <alignment vertical="center" wrapText="true"/>
    </xf>
    <xf applyAlignment="true" applyBorder="false" applyFill="true" applyFont="true" applyNumberFormat="false" applyProtection="false" borderId="39" fillId="36" fontId="3" numFmtId="0" xfId="0">
      <alignment horizontal="center" vertical="center"/>
    </xf>
    <xf applyAlignment="true" applyBorder="false" applyFill="true" applyFont="true" applyNumberFormat="false" applyProtection="false" borderId="39" fillId="36" fontId="4" numFmtId="0" xfId="0">
      <alignment horizontal="center" vertical="center"/>
    </xf>
    <xf applyAlignment="true" applyBorder="false" applyFill="true" applyFont="true" applyNumberFormat="false" applyProtection="false" borderId="39" fillId="36"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39" fillId="0" fontId="3"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39" fillId="36" fontId="4" numFmtId="0" xfId="0">
      <alignment vertical="center"/>
    </xf>
    <xf applyAlignment="true" applyBorder="false" applyFill="true" applyFont="true" applyNumberFormat="false" applyProtection="false" borderId="39" fillId="37" fontId="5" numFmtId="0" xfId="0">
      <alignment horizontal="center" vertical="center"/>
    </xf>
    <xf applyAlignment="true" applyBorder="false" applyFill="true" applyFont="true" applyNumberFormat="false" applyProtection="false" borderId="39" fillId="37" fontId="3" numFmtId="0" xfId="0">
      <alignment vertical="center" wrapText="true"/>
    </xf>
    <xf applyAlignment="true" applyBorder="false" applyFill="true" applyFont="true" applyNumberFormat="false" applyProtection="false" borderId="39" fillId="37" fontId="3" numFmtId="0" xfId="0">
      <alignment horizontal="center" vertical="center"/>
    </xf>
    <xf applyAlignment="true" applyBorder="false" applyFill="true" applyFont="true" applyNumberFormat="false" applyProtection="false" borderId="39" fillId="37" fontId="4" numFmtId="0" xfId="0">
      <alignment horizontal="center" vertical="center"/>
    </xf>
    <xf applyAlignment="true" applyBorder="false" applyFill="true" applyFont="true" applyNumberFormat="false" applyProtection="false" borderId="39" fillId="37" fontId="3" numFmtId="0" xfId="0">
      <alignment horizontal="center" vertical="center"/>
    </xf>
    <xf applyAlignment="true" applyBorder="false" applyFill="false" applyFont="true" applyNumberFormat="false" applyProtection="false" borderId="40" fillId="0" fontId="5" numFmtId="0" xfId="0">
      <alignment horizontal="center" vertical="center"/>
    </xf>
    <xf applyAlignment="true" applyBorder="false" applyFill="true" applyFont="true" applyNumberFormat="false" applyProtection="false" borderId="39" fillId="37" fontId="4" numFmtId="0" xfId="0">
      <alignment vertical="center"/>
    </xf>
    <xf applyAlignment="true" applyBorder="false" applyFill="true" applyFont="true" applyNumberFormat="false" applyProtection="false" borderId="39" fillId="38" fontId="5" numFmtId="0" xfId="0">
      <alignment horizontal="center" vertical="center"/>
    </xf>
    <xf applyAlignment="true" applyBorder="false" applyFill="true" applyFont="true" applyNumberFormat="false" applyProtection="false" borderId="39" fillId="38" fontId="3" numFmtId="0" xfId="0">
      <alignment vertical="center" wrapText="true"/>
    </xf>
    <xf applyAlignment="true" applyBorder="false" applyFill="true" applyFont="true" applyNumberFormat="false" applyProtection="false" borderId="39" fillId="38" fontId="3" numFmtId="0" xfId="0">
      <alignment horizontal="center" vertical="center"/>
    </xf>
    <xf applyAlignment="true" applyBorder="false" applyFill="true" applyFont="true" applyNumberFormat="false" applyProtection="false" borderId="39" fillId="38" fontId="4" numFmtId="0" xfId="0">
      <alignment horizontal="center" vertical="center"/>
    </xf>
    <xf applyAlignment="true" applyBorder="false" applyFill="true" applyFont="true" applyNumberFormat="false" applyProtection="false" borderId="39" fillId="38" fontId="3" numFmtId="0" xfId="0">
      <alignment horizontal="center" vertical="center"/>
    </xf>
    <xf applyAlignment="true" applyBorder="false" applyFill="true" applyFont="true" applyNumberFormat="false" applyProtection="false" borderId="39" fillId="35" fontId="5" numFmtId="0" xfId="0">
      <alignment horizontal="center" vertical="center"/>
    </xf>
    <xf applyAlignment="true" applyBorder="false" applyFill="true" applyFont="true" applyNumberFormat="false" applyProtection="false" borderId="39" fillId="35" fontId="3" numFmtId="0" xfId="0">
      <alignment vertical="center"/>
    </xf>
    <xf applyAlignment="true" applyBorder="false" applyFill="true" applyFont="true" applyNumberFormat="false" applyProtection="false" borderId="39" fillId="39" fontId="5" numFmtId="0" xfId="0">
      <alignment horizontal="center" vertical="center"/>
    </xf>
    <xf applyAlignment="true" applyBorder="false" applyFill="true" applyFont="true" applyNumberFormat="false" applyProtection="false" borderId="39" fillId="39" fontId="3" numFmtId="0" xfId="0">
      <alignment vertical="center" wrapText="true"/>
    </xf>
    <xf applyAlignment="true" applyBorder="false" applyFill="true" applyFont="true" applyNumberFormat="false" applyProtection="false" borderId="39" fillId="39" fontId="3" numFmtId="0" xfId="0">
      <alignment horizontal="center" vertical="center"/>
    </xf>
    <xf applyAlignment="true" applyBorder="false" applyFill="true" applyFont="true" applyNumberFormat="false" applyProtection="false" borderId="39" fillId="39" fontId="4" numFmtId="0" xfId="0">
      <alignment horizontal="center" vertical="center"/>
    </xf>
    <xf applyAlignment="true" applyBorder="false" applyFill="true" applyFont="true" applyNumberFormat="false" applyProtection="false" borderId="39" fillId="39" fontId="3" numFmtId="0" xfId="0">
      <alignment horizontal="center" vertical="center"/>
    </xf>
    <xf applyAlignment="true" applyBorder="false" applyFill="false" applyFont="true" applyNumberFormat="false" applyProtection="false" borderId="39" fillId="0" fontId="4" numFmtId="0" xfId="0">
      <alignment horizontal="center" vertical="center"/>
    </xf>
    <xf applyAlignment="true" applyBorder="false" applyFill="true" applyFont="true" applyNumberFormat="false" applyProtection="false" borderId="39" fillId="38" fontId="5" numFmtId="0" xfId="0">
      <alignment horizontal="center" vertical="center" wrapText="true"/>
    </xf>
    <xf applyAlignment="true" applyBorder="false" applyFill="true" applyFont="true" applyNumberFormat="false" applyProtection="false" borderId="39" fillId="38" fontId="3" numFmtId="0" xfId="0">
      <alignment vertical="center"/>
    </xf>
    <xf applyAlignment="true" applyBorder="false" applyFill="true" applyFont="true" applyNumberFormat="false" applyProtection="false" borderId="39" fillId="38" fontId="4" numFmtId="0" xfId="0">
      <alignment horizontal="center" vertical="center"/>
    </xf>
    <xf applyAlignment="true" applyBorder="false" applyFill="true" applyFont="true" applyNumberFormat="false" applyProtection="false" borderId="39" fillId="40" fontId="3" numFmtId="0" xfId="0">
      <alignment horizontal="center" vertical="center"/>
    </xf>
    <xf applyAlignment="true" applyBorder="false" applyFill="true" applyFont="true" applyNumberFormat="false" applyProtection="false" borderId="39" fillId="40" fontId="3" numFmtId="0" xfId="0">
      <alignment vertical="center"/>
    </xf>
    <xf applyAlignment="true" applyBorder="false" applyFill="true" applyFont="true" applyNumberFormat="false" applyProtection="false" borderId="41" fillId="40" fontId="3" numFmtId="0" xfId="0">
      <alignment horizontal="center" vertical="center"/>
    </xf>
    <xf applyAlignment="true" applyBorder="false" applyFill="true" applyFont="true" applyNumberFormat="false" applyProtection="false" borderId="41" fillId="40" fontId="4" numFmtId="0" xfId="0">
      <alignment horizontal="center" vertical="center"/>
    </xf>
    <xf applyAlignment="true" applyBorder="false" applyFill="true" applyFont="true" applyNumberFormat="false" applyProtection="false" borderId="39" fillId="40" fontId="3" numFmtId="0" xfId="0">
      <alignment horizontal="center" vertical="center"/>
    </xf>
    <xf applyAlignment="true" applyBorder="false" applyFill="false" applyFont="true" applyNumberFormat="false" applyProtection="false" borderId="42" fillId="0" fontId="4" numFmtId="0" xfId="0">
      <alignment horizontal="center" vertical="center" wrapText="true"/>
    </xf>
    <xf applyAlignment="true" applyBorder="false" applyFill="false" applyFont="true" applyNumberFormat="false" applyProtection="false" borderId="39" fillId="0" fontId="3" numFmtId="0" xfId="0">
      <alignment horizontal="center" vertical="center"/>
    </xf>
    <xf applyAlignment="true" applyBorder="false" applyFill="true" applyFont="true" applyNumberFormat="false" applyProtection="false" borderId="39" fillId="41" fontId="3" numFmtId="0" xfId="0">
      <alignment horizontal="center" vertical="center"/>
    </xf>
    <xf applyAlignment="true" applyBorder="false" applyFill="true" applyFont="true" applyNumberFormat="false" applyProtection="false" borderId="42" fillId="41" fontId="3" numFmtId="0" xfId="0">
      <alignment horizontal="left" vertical="center" wrapText="true"/>
    </xf>
    <xf applyAlignment="true" applyBorder="false" applyFill="true" applyFont="true" applyNumberFormat="false" applyProtection="false" borderId="43" fillId="41" fontId="3" numFmtId="0" xfId="0">
      <alignment horizontal="center" vertical="center"/>
    </xf>
    <xf applyAlignment="true" applyBorder="false" applyFill="true" applyFont="true" applyNumberFormat="false" applyProtection="false" borderId="43" fillId="41" fontId="4" numFmtId="0" xfId="0">
      <alignment horizontal="center" vertical="center"/>
    </xf>
    <xf applyAlignment="true" applyBorder="false" applyFill="true" applyFont="true" applyNumberFormat="false" applyProtection="false" borderId="43" fillId="41" fontId="4" numFmtId="0" xfId="0">
      <alignment vertical="center"/>
    </xf>
    <xf applyAlignment="true" applyBorder="false" applyFill="true" applyFont="true" applyNumberFormat="false" applyProtection="false" borderId="44" fillId="41" fontId="3" numFmtId="0" xfId="0">
      <alignment horizontal="center" vertical="center"/>
    </xf>
    <xf applyAlignment="true" applyBorder="false" applyFill="false" applyFont="true" applyNumberFormat="false" applyProtection="false" borderId="39" fillId="0" fontId="4" numFmtId="0" xfId="0">
      <alignment horizontal="center" vertical="center"/>
    </xf>
    <xf applyAlignment="true" applyBorder="false" applyFill="false" applyFont="true" applyNumberFormat="false" applyProtection="false" borderId="43" fillId="0" fontId="3" numFmtId="0" xfId="0">
      <alignment horizontal="center" vertical="center"/>
    </xf>
    <xf applyAlignment="true" applyBorder="false" applyFill="false" applyFont="true" applyNumberFormat="false" applyProtection="false" borderId="43" fillId="0" fontId="4" numFmtId="0" xfId="0">
      <alignment horizontal="center" vertical="center"/>
    </xf>
    <xf applyAlignment="true" applyBorder="false" applyFill="false" applyFont="true" applyNumberFormat="false" applyProtection="false" borderId="43" fillId="0" fontId="4" numFmtId="0" xfId="0">
      <alignment vertical="center"/>
    </xf>
    <xf applyAlignment="true" applyBorder="false" applyFill="true" applyFont="true" applyNumberFormat="false" applyProtection="false" borderId="39" fillId="40" fontId="3" numFmtId="0" xfId="0">
      <alignment horizontal="center" vertical="center" wrapText="true"/>
    </xf>
    <xf applyAlignment="true" applyBorder="false" applyFill="true" applyFont="true" applyNumberFormat="false" applyProtection="false" borderId="39" fillId="40" fontId="4" numFmtId="0" xfId="0">
      <alignment horizontal="center" vertical="center"/>
    </xf>
    <xf applyAlignment="true" applyBorder="false" applyFill="false" applyFont="true" applyNumberFormat="false" applyProtection="false" borderId="39" fillId="0" fontId="4" numFmtId="0" xfId="0">
      <alignment vertical="center"/>
    </xf>
    <xf applyAlignment="true" applyBorder="false" applyFill="true" applyFont="true" applyNumberFormat="false" applyProtection="false" borderId="0" fillId="36" fontId="5" numFmtId="0" xfId="0">
      <alignment horizontal="center" vertical="center"/>
    </xf>
    <xf applyAlignment="true" applyBorder="false" applyFill="true" applyFont="true" applyNumberFormat="false" applyProtection="false" borderId="39" fillId="36" fontId="3" numFmtId="0" xfId="0">
      <alignment horizontal="left" vertical="center" wrapText="true"/>
    </xf>
    <xf applyAlignment="true" applyBorder="false" applyFill="true" applyFont="true" applyNumberFormat="false" applyProtection="false" borderId="39" fillId="36" fontId="4" numFmtId="0" xfId="0">
      <alignment vertical="center"/>
    </xf>
    <xf applyAlignment="true" applyBorder="false" applyFill="true" applyFont="true" applyNumberFormat="false" applyProtection="false" borderId="0" fillId="37" fontId="5" numFmtId="0" xfId="0">
      <alignment horizontal="center" vertical="center"/>
    </xf>
    <xf applyAlignment="true" applyBorder="false" applyFill="true" applyFont="true" applyNumberFormat="false" applyProtection="false" borderId="39" fillId="37" fontId="3" numFmtId="0" xfId="0">
      <alignment horizontal="left" vertical="center" wrapText="true"/>
    </xf>
    <xf applyAlignment="true" applyBorder="false" applyFill="true" applyFont="true" applyNumberFormat="false" applyProtection="false" borderId="39" fillId="37" fontId="4" numFmtId="0" xfId="0">
      <alignment vertical="center"/>
    </xf>
    <xf applyAlignment="true" applyBorder="false" applyFill="false" applyFont="true" applyNumberFormat="false" applyProtection="false" borderId="39" fillId="0" fontId="3" numFmtId="0" xfId="0">
      <alignment horizontal="center" vertical="center" wrapText="true"/>
    </xf>
    <xf applyAlignment="true" applyBorder="false" applyFill="false" applyFont="true" applyNumberFormat="false" applyProtection="false" borderId="39" fillId="0" fontId="3" numFmtId="0" xfId="0">
      <alignment horizontal="left" vertical="center"/>
    </xf>
    <xf applyAlignment="true" applyBorder="false" applyFill="true" applyFont="true" applyNumberFormat="false" applyProtection="false" borderId="39" fillId="42" fontId="3" numFmtId="0" xfId="0">
      <alignment horizontal="center" vertical="center"/>
    </xf>
    <xf applyAlignment="true" applyBorder="false" applyFill="true" applyFont="true" applyNumberFormat="false" applyProtection="false" borderId="39" fillId="42" fontId="3" numFmtId="0" xfId="0">
      <alignment horizontal="center" vertical="center"/>
    </xf>
    <xf applyAlignment="true" applyBorder="false" applyFill="true" applyFont="true" applyNumberFormat="false" applyProtection="false" borderId="39" fillId="42" fontId="4" numFmtId="0" xfId="0">
      <alignment horizontal="center" vertical="center"/>
    </xf>
    <xf applyAlignment="true" applyBorder="false" applyFill="true" applyFont="true" applyNumberFormat="false" applyProtection="false" borderId="39" fillId="42" fontId="4" numFmtId="0" xfId="0">
      <alignment vertical="center"/>
    </xf>
    <xf applyAlignment="true" applyBorder="false" applyFill="false" applyFont="true" applyNumberFormat="false" applyProtection="false" borderId="39" fillId="0" fontId="4" numFmtId="0" xfId="0">
      <alignment vertical="center"/>
    </xf>
    <xf applyAlignment="true" applyBorder="false" applyFill="false" applyFont="true" applyNumberFormat="false" applyProtection="false" borderId="43" fillId="0" fontId="4" numFmtId="0" xfId="0">
      <alignment vertical="center"/>
    </xf>
    <xf applyAlignment="true" applyBorder="false" applyFill="false" applyFont="true" applyNumberFormat="false" applyProtection="false" borderId="43" fillId="0" fontId="4" numFmtId="0" xfId="0">
      <alignment vertical="center"/>
    </xf>
    <xf applyAlignment="true" applyBorder="false" applyFill="false" applyFont="true" applyNumberFormat="false" applyProtection="false" borderId="40" fillId="0" fontId="2" numFmtId="0" xfId="0">
      <alignment vertical="center"/>
    </xf>
    <xf applyAlignment="true" applyBorder="false" applyFill="false" applyFont="true" applyNumberFormat="false" applyProtection="false" borderId="45" fillId="0" fontId="2" numFmtId="0" xfId="0">
      <alignment vertical="center"/>
    </xf>
    <xf applyAlignment="true" applyBorder="false" applyFill="false" applyFont="true" applyNumberFormat="false" applyProtection="false" borderId="41" fillId="0" fontId="4" numFmtId="0" xfId="0">
      <alignment vertical="center"/>
    </xf>
    <xf applyAlignment="true" applyBorder="false" applyFill="false" applyFont="true" applyNumberFormat="false" applyProtection="false" borderId="36" fillId="0" fontId="2" numFmtId="0" xfId="0">
      <alignment vertical="center"/>
    </xf>
    <xf applyAlignment="true" applyBorder="false" applyFill="false" applyFont="true" applyNumberFormat="false" applyProtection="false" borderId="39" fillId="0" fontId="2" numFmtId="0" xfId="0">
      <alignment vertical="center"/>
    </xf>
    <xf applyAlignment="true" applyBorder="false" applyFill="false" applyFont="true" applyNumberFormat="false" applyProtection="false" borderId="44" fillId="0" fontId="4" numFmtId="0" xfId="0">
      <alignment vertical="center"/>
    </xf>
    <xf applyAlignment="true" applyBorder="false" applyFill="false" applyFont="true" applyNumberFormat="false" applyProtection="false" borderId="46" fillId="0" fontId="1" numFmtId="0" xfId="0">
      <alignment horizontal="center" vertical="center" wrapText="true"/>
    </xf>
    <xf applyAlignment="true" applyBorder="false" applyFill="false" applyFont="true" applyNumberFormat="true" applyProtection="false" borderId="46" fillId="0" fontId="1" numFmtId="169" xfId="0">
      <alignment horizontal="center" vertical="center" wrapText="true"/>
    </xf>
    <xf applyAlignment="true" applyBorder="false" applyFill="false" applyFont="true" applyNumberFormat="false" applyProtection="false" borderId="47" fillId="0" fontId="1" numFmtId="0" xfId="0">
      <alignment horizontal="center" vertical="center" wrapText="true"/>
    </xf>
    <xf applyAlignment="true" applyBorder="false" applyFill="false" applyFont="true" applyNumberFormat="false" applyProtection="false" borderId="46" fillId="0" fontId="1" numFmtId="0" xfId="0">
      <alignment horizontal="center" vertical="center" wrapText="true"/>
    </xf>
    <xf applyAlignment="true" applyBorder="false" applyFill="false" applyFont="true" applyNumberFormat="false" applyProtection="false" borderId="48" fillId="0" fontId="6" numFmtId="0" xfId="0">
      <alignment vertical="center" wrapText="true"/>
    </xf>
    <xf applyAlignment="true" applyBorder="false" applyFill="true" applyFont="true" applyNumberFormat="false" applyProtection="false" borderId="49" fillId="43" fontId="3" numFmtId="0" xfId="0">
      <alignment horizontal="center" vertical="center"/>
    </xf>
    <xf applyAlignment="true" applyBorder="false" applyFill="true" applyFont="true" applyNumberFormat="false" applyProtection="false" borderId="49" fillId="43" fontId="3" numFmtId="0" xfId="0">
      <alignment vertical="center" wrapText="true"/>
    </xf>
    <xf applyAlignment="true" applyBorder="false" applyFill="true" applyFont="true" applyNumberFormat="false" applyProtection="false" borderId="49" fillId="43" fontId="4" numFmtId="0" xfId="0">
      <alignment horizontal="center" vertical="center"/>
    </xf>
    <xf applyAlignment="true" applyBorder="false" applyFill="true" applyFont="true" applyNumberFormat="false" applyProtection="false" borderId="49" fillId="43"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49" fillId="0" fontId="4" numFmtId="0" xfId="0">
      <alignment horizontal="center" vertical="center" wrapText="true"/>
    </xf>
    <xf applyAlignment="true" applyBorder="false" applyFill="false" applyFont="true" applyNumberFormat="false" applyProtection="false" borderId="49" fillId="0" fontId="3" numFmtId="0" xfId="0">
      <alignment horizontal="center" vertical="center"/>
    </xf>
    <xf applyAlignment="true" applyBorder="false" applyFill="false" applyFont="true" applyNumberFormat="false" applyProtection="false" borderId="49" fillId="0" fontId="4" numFmtId="0" xfId="0">
      <alignment horizontal="center" vertical="center"/>
    </xf>
    <xf applyAlignment="true" applyBorder="false" applyFill="false" applyFont="true" applyNumberFormat="false" applyProtection="false" borderId="49" fillId="0" fontId="4" numFmtId="0" xfId="0">
      <alignment vertical="center"/>
    </xf>
    <xf applyAlignment="true" applyBorder="false" applyFill="false" applyFont="true" applyNumberFormat="false" applyProtection="false" borderId="49" fillId="0" fontId="3" numFmtId="0" xfId="0">
      <alignment horizontal="center" vertical="center"/>
    </xf>
    <xf applyAlignment="true" applyBorder="false" applyFill="true" applyFont="true" applyNumberFormat="false" applyProtection="false" borderId="49" fillId="44" fontId="3" numFmtId="0" xfId="0">
      <alignment horizontal="center" vertical="center" wrapText="true"/>
    </xf>
    <xf applyAlignment="true" applyBorder="false" applyFill="true" applyFont="true" applyNumberFormat="false" applyProtection="false" borderId="49" fillId="44" fontId="3" numFmtId="0" xfId="0">
      <alignment vertical="center" wrapText="true"/>
    </xf>
    <xf applyAlignment="true" applyBorder="false" applyFill="true" applyFont="true" applyNumberFormat="false" applyProtection="false" borderId="49" fillId="44" fontId="3" numFmtId="0" xfId="0">
      <alignment horizontal="center" vertical="center"/>
    </xf>
    <xf applyAlignment="true" applyBorder="false" applyFill="true" applyFont="true" applyNumberFormat="false" applyProtection="false" borderId="49" fillId="44" fontId="4" numFmtId="0" xfId="0">
      <alignment horizontal="center" vertical="center"/>
    </xf>
    <xf applyAlignment="true" applyBorder="false" applyFill="true" applyFont="true" applyNumberFormat="false" applyProtection="false" borderId="49" fillId="44"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49" fillId="0" fontId="3"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50" fillId="0" fontId="5" numFmtId="0" xfId="0">
      <alignment horizontal="center" vertical="center"/>
    </xf>
    <xf applyAlignment="true" applyBorder="false" applyFill="true" applyFont="true" applyNumberFormat="false" applyProtection="false" borderId="49" fillId="43" fontId="5" numFmtId="0" xfId="0">
      <alignment horizontal="center" vertical="center"/>
    </xf>
    <xf applyAlignment="true" applyBorder="false" applyFill="true" applyFont="true" applyNumberFormat="false" applyProtection="false" borderId="49" fillId="43" fontId="3" numFmtId="0" xfId="0">
      <alignment vertical="center"/>
    </xf>
    <xf applyAlignment="true" applyBorder="false" applyFill="true" applyFont="true" applyNumberFormat="false" applyProtection="false" borderId="49" fillId="43" fontId="4" numFmtId="0" xfId="0">
      <alignment horizontal="center" vertical="center"/>
    </xf>
    <xf applyAlignment="true" applyBorder="false" applyFill="true" applyFont="true" applyNumberFormat="false" applyProtection="false" borderId="49" fillId="45" fontId="3" numFmtId="0" xfId="0">
      <alignment horizontal="center" vertical="center"/>
    </xf>
    <xf applyAlignment="true" applyBorder="false" applyFill="true" applyFont="true" applyNumberFormat="false" applyProtection="false" borderId="49" fillId="45" fontId="3" numFmtId="0" xfId="0">
      <alignment horizontal="center" vertical="center"/>
    </xf>
    <xf applyAlignment="true" applyBorder="false" applyFill="true" applyFont="true" applyNumberFormat="false" applyProtection="false" borderId="49" fillId="45" fontId="4" numFmtId="0" xfId="0">
      <alignment horizontal="center" vertical="center"/>
    </xf>
    <xf applyAlignment="true" applyBorder="false" applyFill="true" applyFont="true" applyNumberFormat="false" applyProtection="false" borderId="49" fillId="45" fontId="4" numFmtId="0" xfId="0">
      <alignment vertical="center"/>
    </xf>
    <xf applyAlignment="true" applyBorder="false" applyFill="false" applyFont="true" applyNumberFormat="false" applyProtection="false" borderId="49" fillId="0" fontId="4" numFmtId="0" xfId="0">
      <alignment vertical="center"/>
    </xf>
    <xf applyAlignment="true" applyBorder="false" applyFill="false" applyFont="true" applyNumberFormat="false" applyProtection="false" borderId="51" fillId="0" fontId="4" numFmtId="0" xfId="0">
      <alignment vertical="center"/>
    </xf>
    <xf applyAlignment="true" applyBorder="false" applyFill="false" applyFont="true" applyNumberFormat="false" applyProtection="false" borderId="51" fillId="0" fontId="4" numFmtId="0" xfId="0">
      <alignment vertical="center"/>
    </xf>
    <xf applyAlignment="true" applyBorder="false" applyFill="false" applyFont="true" applyNumberFormat="false" applyProtection="false" borderId="50" fillId="0" fontId="2" numFmtId="0" xfId="0">
      <alignment vertical="center"/>
    </xf>
    <xf applyAlignment="true" applyBorder="false" applyFill="false" applyFont="true" applyNumberFormat="false" applyProtection="false" borderId="52" fillId="0" fontId="2" numFmtId="0" xfId="0">
      <alignment vertical="center"/>
    </xf>
    <xf applyAlignment="true" applyBorder="false" applyFill="false" applyFont="true" applyNumberFormat="false" applyProtection="false" borderId="53" fillId="0" fontId="4" numFmtId="0" xfId="0">
      <alignment vertical="center"/>
    </xf>
    <xf applyAlignment="true" applyBorder="false" applyFill="false" applyFont="true" applyNumberFormat="false" applyProtection="false" borderId="46" fillId="0" fontId="2" numFmtId="0" xfId="0">
      <alignment vertical="center"/>
    </xf>
    <xf applyAlignment="true" applyBorder="false" applyFill="false" applyFont="true" applyNumberFormat="false" applyProtection="false" borderId="49" fillId="0" fontId="2" numFmtId="0" xfId="0">
      <alignment vertical="center"/>
    </xf>
    <xf applyAlignment="true" applyBorder="false" applyFill="false" applyFont="true" applyNumberFormat="false" applyProtection="false" borderId="54" fillId="0" fontId="4" numFmtId="0" xfId="0">
      <alignment vertical="center"/>
    </xf>
    <xf applyAlignment="true" applyBorder="false" applyFill="false" applyFont="true" applyNumberFormat="false" applyProtection="false" borderId="55" fillId="0" fontId="1" numFmtId="0" xfId="0">
      <alignment horizontal="center" vertical="center" wrapText="true"/>
    </xf>
    <xf applyAlignment="true" applyBorder="false" applyFill="false" applyFont="true" applyNumberFormat="true" applyProtection="false" borderId="55" fillId="0" fontId="1" numFmtId="170" xfId="0">
      <alignment horizontal="center" vertical="center" wrapText="true"/>
    </xf>
    <xf applyAlignment="true" applyBorder="false" applyFill="false" applyFont="true" applyNumberFormat="false" applyProtection="false" borderId="56" fillId="0" fontId="1" numFmtId="0" xfId="0">
      <alignment horizontal="center" vertical="center" wrapText="true"/>
    </xf>
    <xf applyAlignment="true" applyBorder="false" applyFill="false" applyFont="true" applyNumberFormat="false" applyProtection="false" borderId="55" fillId="0" fontId="1" numFmtId="0" xfId="0">
      <alignment horizontal="center" vertical="center" wrapText="true"/>
    </xf>
    <xf applyAlignment="true" applyBorder="false" applyFill="false" applyFont="true" applyNumberFormat="false" applyProtection="false" borderId="57" fillId="0" fontId="6" numFmtId="0" xfId="0">
      <alignment vertical="center" wrapText="true"/>
    </xf>
    <xf applyAlignment="true" applyBorder="false" applyFill="true" applyFont="true" applyNumberFormat="false" applyProtection="false" borderId="58" fillId="46" fontId="3" numFmtId="0" xfId="0">
      <alignment horizontal="center" vertical="center"/>
    </xf>
    <xf applyAlignment="true" applyBorder="false" applyFill="true" applyFont="true" applyNumberFormat="false" applyProtection="false" borderId="58" fillId="46" fontId="3" numFmtId="0" xfId="0">
      <alignment vertical="center" wrapText="true"/>
    </xf>
    <xf applyAlignment="true" applyBorder="false" applyFill="true" applyFont="true" applyNumberFormat="false" applyProtection="false" borderId="58" fillId="46" fontId="4" numFmtId="0" xfId="0">
      <alignment horizontal="center" vertical="center"/>
    </xf>
    <xf applyAlignment="true" applyBorder="false" applyFill="true" applyFont="true" applyNumberFormat="false" applyProtection="false" borderId="58" fillId="46"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58" fillId="0" fontId="4" numFmtId="0" xfId="0">
      <alignment horizontal="center" vertical="center" wrapText="true"/>
    </xf>
    <xf applyAlignment="true" applyBorder="false" applyFill="false" applyFont="true" applyNumberFormat="false" applyProtection="false" borderId="58" fillId="0" fontId="3" numFmtId="0" xfId="0">
      <alignment horizontal="center" vertical="center"/>
    </xf>
    <xf applyAlignment="true" applyBorder="false" applyFill="false" applyFont="true" applyNumberFormat="false" applyProtection="false" borderId="58" fillId="0" fontId="4" numFmtId="0" xfId="0">
      <alignment horizontal="center" vertical="center"/>
    </xf>
    <xf applyAlignment="true" applyBorder="false" applyFill="false" applyFont="true" applyNumberFormat="false" applyProtection="false" borderId="58" fillId="0" fontId="4" numFmtId="0" xfId="0">
      <alignment vertical="center"/>
    </xf>
    <xf applyAlignment="true" applyBorder="false" applyFill="false" applyFont="true" applyNumberFormat="false" applyProtection="false" borderId="58" fillId="0" fontId="3" numFmtId="0" xfId="0">
      <alignment horizontal="center" vertical="center"/>
    </xf>
    <xf applyAlignment="true" applyBorder="false" applyFill="true" applyFont="true" applyNumberFormat="false" applyProtection="false" borderId="58" fillId="47" fontId="3" numFmtId="0" xfId="0">
      <alignment horizontal="center" vertical="center" wrapText="true"/>
    </xf>
    <xf applyAlignment="true" applyBorder="false" applyFill="true" applyFont="true" applyNumberFormat="false" applyProtection="false" borderId="58" fillId="47" fontId="3" numFmtId="0" xfId="0">
      <alignment vertical="center" wrapText="true"/>
    </xf>
    <xf applyAlignment="true" applyBorder="false" applyFill="true" applyFont="true" applyNumberFormat="false" applyProtection="false" borderId="58" fillId="47" fontId="3" numFmtId="0" xfId="0">
      <alignment horizontal="center" vertical="center"/>
    </xf>
    <xf applyAlignment="true" applyBorder="false" applyFill="true" applyFont="true" applyNumberFormat="false" applyProtection="false" borderId="58" fillId="47" fontId="4" numFmtId="0" xfId="0">
      <alignment horizontal="center" vertical="center"/>
    </xf>
    <xf applyAlignment="true" applyBorder="false" applyFill="true" applyFont="true" applyNumberFormat="false" applyProtection="false" borderId="58" fillId="47"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58" fillId="0" fontId="3"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58" fillId="48" fontId="3" numFmtId="0" xfId="0">
      <alignment horizontal="center" vertical="center" wrapText="true"/>
    </xf>
    <xf applyAlignment="true" applyBorder="false" applyFill="true" applyFont="true" applyNumberFormat="false" applyProtection="false" borderId="58" fillId="48" fontId="3" numFmtId="0" xfId="0">
      <alignment vertical="center" wrapText="true"/>
    </xf>
    <xf applyAlignment="true" applyBorder="false" applyFill="true" applyFont="true" applyNumberFormat="false" applyProtection="false" borderId="58" fillId="48" fontId="3" numFmtId="0" xfId="0">
      <alignment horizontal="center" vertical="center"/>
    </xf>
    <xf applyAlignment="true" applyBorder="false" applyFill="true" applyFont="true" applyNumberFormat="false" applyProtection="false" borderId="58" fillId="48" fontId="4" numFmtId="0" xfId="0">
      <alignment horizontal="center" vertical="center"/>
    </xf>
    <xf applyAlignment="true" applyBorder="false" applyFill="true" applyFont="true" applyNumberFormat="false" applyProtection="false" borderId="58" fillId="48" fontId="3" numFmtId="0" xfId="0">
      <alignment horizontal="center" vertical="center"/>
    </xf>
    <xf applyAlignment="true" applyBorder="false" applyFill="false" applyFont="true" applyNumberFormat="false" applyProtection="false" borderId="59" fillId="0" fontId="5" numFmtId="0" xfId="0">
      <alignment horizontal="center" vertical="center"/>
    </xf>
    <xf applyAlignment="true" applyBorder="false" applyFill="true" applyFont="true" applyNumberFormat="false" applyProtection="false" borderId="58" fillId="49" fontId="5" numFmtId="0" xfId="0">
      <alignment horizontal="center" vertical="center"/>
    </xf>
    <xf applyAlignment="true" applyBorder="false" applyFill="true" applyFont="true" applyNumberFormat="false" applyProtection="false" borderId="58" fillId="49" fontId="3" numFmtId="0" xfId="0">
      <alignment vertical="center"/>
    </xf>
    <xf applyAlignment="true" applyBorder="false" applyFill="true" applyFont="true" applyNumberFormat="false" applyProtection="false" borderId="58" fillId="49" fontId="3" numFmtId="0" xfId="0">
      <alignment horizontal="center" vertical="center"/>
    </xf>
    <xf applyAlignment="true" applyBorder="false" applyFill="true" applyFont="true" applyNumberFormat="false" applyProtection="false" borderId="58" fillId="49" fontId="4" numFmtId="0" xfId="0">
      <alignment horizontal="center" vertical="center"/>
    </xf>
    <xf applyAlignment="true" applyBorder="false" applyFill="true" applyFont="true" applyNumberFormat="false" applyProtection="false" borderId="58" fillId="49" fontId="3" numFmtId="0" xfId="0">
      <alignment horizontal="center" vertical="center"/>
    </xf>
    <xf applyAlignment="true" applyBorder="false" applyFill="true" applyFont="true" applyNumberFormat="false" applyProtection="false" borderId="58" fillId="50" fontId="5" numFmtId="0" xfId="0">
      <alignment horizontal="center" vertical="center"/>
    </xf>
    <xf applyAlignment="true" applyBorder="false" applyFill="true" applyFont="true" applyNumberFormat="false" applyProtection="false" borderId="58" fillId="50" fontId="3" numFmtId="0" xfId="0">
      <alignment vertical="center" wrapText="true"/>
    </xf>
    <xf applyAlignment="true" applyBorder="false" applyFill="true" applyFont="true" applyNumberFormat="false" applyProtection="false" borderId="58" fillId="50" fontId="3" numFmtId="0" xfId="0">
      <alignment horizontal="center" vertical="center"/>
    </xf>
    <xf applyAlignment="true" applyBorder="false" applyFill="true" applyFont="true" applyNumberFormat="false" applyProtection="false" borderId="58" fillId="50" fontId="4" numFmtId="0" xfId="0">
      <alignment horizontal="center" vertical="center"/>
    </xf>
    <xf applyAlignment="true" applyBorder="false" applyFill="true" applyFont="true" applyNumberFormat="false" applyProtection="false" borderId="58" fillId="50" fontId="3" numFmtId="0" xfId="0">
      <alignment horizontal="center" vertical="center"/>
    </xf>
    <xf applyAlignment="true" applyBorder="false" applyFill="true" applyFont="true" applyNumberFormat="false" applyProtection="false" borderId="58" fillId="51" fontId="5" numFmtId="0" xfId="0">
      <alignment horizontal="center" vertical="center"/>
    </xf>
    <xf applyAlignment="true" applyBorder="false" applyFill="true" applyFont="true" applyNumberFormat="false" applyProtection="false" borderId="58" fillId="51" fontId="3" numFmtId="0" xfId="0">
      <alignment vertical="center"/>
    </xf>
    <xf applyAlignment="true" applyBorder="false" applyFill="true" applyFont="true" applyNumberFormat="false" applyProtection="false" borderId="58" fillId="51" fontId="3" numFmtId="0" xfId="0">
      <alignment horizontal="center" vertical="center"/>
    </xf>
    <xf applyAlignment="true" applyBorder="false" applyFill="true" applyFont="true" applyNumberFormat="false" applyProtection="false" borderId="58" fillId="51" fontId="4" numFmtId="0" xfId="0">
      <alignment horizontal="center" vertical="center"/>
    </xf>
    <xf applyAlignment="true" applyBorder="false" applyFill="true" applyFont="true" applyNumberFormat="false" applyProtection="false" borderId="58" fillId="51" fontId="3" numFmtId="0" xfId="0">
      <alignment horizontal="center" vertical="center"/>
    </xf>
    <xf applyAlignment="true" applyBorder="false" applyFill="false" applyFont="true" applyNumberFormat="false" applyProtection="false" borderId="58" fillId="0" fontId="3" numFmtId="0" xfId="0">
      <alignment horizontal="center" vertical="center" wrapText="true"/>
    </xf>
    <xf applyAlignment="true" applyBorder="false" applyFill="false" applyFont="true" applyNumberFormat="false" applyProtection="false" borderId="58" fillId="0" fontId="3" numFmtId="0" xfId="0">
      <alignment horizontal="left" vertical="center"/>
    </xf>
    <xf applyAlignment="true" applyBorder="false" applyFill="false" applyFont="true" applyNumberFormat="false" applyProtection="false" borderId="58" fillId="0" fontId="3" numFmtId="0" xfId="0">
      <alignment horizontal="center" vertical="center"/>
    </xf>
    <xf applyAlignment="true" applyBorder="false" applyFill="false" applyFont="true" applyNumberFormat="false" applyProtection="false" borderId="58" fillId="0" fontId="4" numFmtId="0" xfId="0">
      <alignment horizontal="center" vertical="center"/>
    </xf>
    <xf applyAlignment="true" applyBorder="false" applyFill="false" applyFont="true" applyNumberFormat="false" applyProtection="false" borderId="58" fillId="0" fontId="4" numFmtId="0" xfId="0">
      <alignment vertical="center"/>
    </xf>
    <xf applyAlignment="true" applyBorder="false" applyFill="false" applyFont="true" applyNumberFormat="false" applyProtection="false" borderId="59" fillId="0" fontId="5" numFmtId="0" xfId="0">
      <alignment horizontal="center" vertical="center"/>
    </xf>
    <xf applyAlignment="true" applyBorder="false" applyFill="true" applyFont="true" applyNumberFormat="false" applyProtection="false" borderId="58" fillId="52" fontId="3" numFmtId="0" xfId="0">
      <alignment horizontal="center" vertical="center"/>
    </xf>
    <xf applyAlignment="true" applyBorder="false" applyFill="true" applyFont="true" applyNumberFormat="false" applyProtection="false" borderId="58" fillId="52" fontId="3" numFmtId="0" xfId="0">
      <alignment horizontal="center" vertical="center"/>
    </xf>
    <xf applyAlignment="true" applyBorder="false" applyFill="true" applyFont="true" applyNumberFormat="false" applyProtection="false" borderId="58" fillId="52" fontId="4" numFmtId="0" xfId="0">
      <alignment horizontal="center" vertical="center"/>
    </xf>
    <xf applyAlignment="true" applyBorder="false" applyFill="true" applyFont="true" applyNumberFormat="false" applyProtection="false" borderId="58" fillId="52" fontId="4" numFmtId="0" xfId="0">
      <alignment vertical="center"/>
    </xf>
    <xf applyAlignment="true" applyBorder="false" applyFill="false" applyFont="true" applyNumberFormat="false" applyProtection="false" borderId="58" fillId="0" fontId="4" numFmtId="0" xfId="0">
      <alignment vertical="center"/>
    </xf>
    <xf applyAlignment="true" applyBorder="false" applyFill="false" applyFont="true" applyNumberFormat="false" applyProtection="false" borderId="60" fillId="0" fontId="4" numFmtId="0" xfId="0">
      <alignment vertical="center"/>
    </xf>
    <xf applyAlignment="true" applyBorder="false" applyFill="false" applyFont="true" applyNumberFormat="false" applyProtection="false" borderId="60" fillId="0" fontId="4" numFmtId="0" xfId="0">
      <alignment vertical="center"/>
    </xf>
    <xf applyAlignment="true" applyBorder="false" applyFill="false" applyFont="true" applyNumberFormat="false" applyProtection="false" borderId="59" fillId="0" fontId="2" numFmtId="0" xfId="0">
      <alignment vertical="center"/>
    </xf>
    <xf applyAlignment="true" applyBorder="false" applyFill="false" applyFont="true" applyNumberFormat="false" applyProtection="false" borderId="61" fillId="0" fontId="4" numFmtId="0" xfId="0">
      <alignment vertical="center"/>
    </xf>
    <xf applyAlignment="true" applyBorder="false" applyFill="false" applyFont="true" applyNumberFormat="false" applyProtection="false" borderId="55" fillId="0" fontId="2" numFmtId="0" xfId="0">
      <alignment vertical="center"/>
    </xf>
    <xf applyAlignment="true" applyBorder="false" applyFill="false" applyFont="true" applyNumberFormat="false" applyProtection="false" borderId="62" fillId="0" fontId="2" numFmtId="0" xfId="0">
      <alignment vertical="center"/>
    </xf>
    <xf applyAlignment="true" applyBorder="false" applyFill="false" applyFont="true" applyNumberFormat="false" applyProtection="false" borderId="58" fillId="0" fontId="2" numFmtId="0" xfId="0">
      <alignment vertical="center"/>
    </xf>
    <xf applyAlignment="true" applyBorder="false" applyFill="false" applyFont="true" applyNumberFormat="false" applyProtection="false" borderId="63" fillId="0" fontId="4" numFmtId="0" xfId="0">
      <alignment vertical="center"/>
    </xf>
    <xf applyAlignment="true" applyBorder="false" applyFill="false" applyFont="true" applyNumberFormat="false" applyProtection="false" borderId="64" fillId="0" fontId="1" numFmtId="0" xfId="0">
      <alignment horizontal="center" vertical="center" wrapText="true"/>
    </xf>
    <xf applyAlignment="true" applyBorder="false" applyFill="false" applyFont="true" applyNumberFormat="true" applyProtection="false" borderId="64" fillId="0" fontId="1" numFmtId="171" xfId="0">
      <alignment horizontal="center" vertical="center" wrapText="true"/>
    </xf>
    <xf applyAlignment="true" applyBorder="false" applyFill="false" applyFont="true" applyNumberFormat="false" applyProtection="false" borderId="65" fillId="0" fontId="1" numFmtId="0" xfId="0">
      <alignment horizontal="center" vertical="center" wrapText="true"/>
    </xf>
    <xf applyAlignment="true" applyBorder="false" applyFill="false" applyFont="true" applyNumberFormat="false" applyProtection="false" borderId="64" fillId="0" fontId="1" numFmtId="0" xfId="0">
      <alignment horizontal="center" vertical="center" wrapText="true"/>
    </xf>
    <xf applyAlignment="true" applyBorder="false" applyFill="false" applyFont="true" applyNumberFormat="false" applyProtection="false" borderId="66" fillId="0" fontId="6" numFmtId="0" xfId="0">
      <alignment vertical="center" wrapText="true"/>
    </xf>
    <xf applyAlignment="true" applyBorder="false" applyFill="true" applyFont="true" applyNumberFormat="false" applyProtection="false" borderId="67" fillId="53" fontId="3" numFmtId="0" xfId="0">
      <alignment horizontal="center" vertical="center"/>
    </xf>
    <xf applyAlignment="true" applyBorder="false" applyFill="true" applyFont="true" applyNumberFormat="false" applyProtection="false" borderId="67" fillId="53" fontId="3" numFmtId="0" xfId="0">
      <alignment vertical="center" wrapText="true"/>
    </xf>
    <xf applyAlignment="true" applyBorder="false" applyFill="true" applyFont="true" applyNumberFormat="false" applyProtection="false" borderId="67" fillId="53" fontId="4" numFmtId="0" xfId="0">
      <alignment horizontal="center" vertical="center"/>
    </xf>
    <xf applyAlignment="true" applyBorder="false" applyFill="true" applyFont="true" applyNumberFormat="false" applyProtection="false" borderId="67" fillId="53" fontId="4" numFmtId="0" xfId="0">
      <alignment horizontal="center" vertical="center"/>
    </xf>
    <xf applyAlignment="true" applyBorder="false" applyFill="true" applyFont="true" applyNumberFormat="false" applyProtection="false" borderId="67" fillId="53"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67" fillId="0" fontId="4" numFmtId="0" xfId="0">
      <alignment horizontal="center" vertical="center" wrapText="true"/>
    </xf>
    <xf applyAlignment="true" applyBorder="false" applyFill="false" applyFont="true" applyNumberFormat="false" applyProtection="false" borderId="67" fillId="0" fontId="3" numFmtId="0" xfId="0">
      <alignment horizontal="center" vertical="center"/>
    </xf>
    <xf applyAlignment="true" applyBorder="false" applyFill="false" applyFont="true" applyNumberFormat="false" applyProtection="false" borderId="67" fillId="0" fontId="4" numFmtId="0" xfId="0">
      <alignment horizontal="center" vertical="center"/>
    </xf>
    <xf applyAlignment="true" applyBorder="false" applyFill="false" applyFont="true" applyNumberFormat="false" applyProtection="false" borderId="67" fillId="0" fontId="4" numFmtId="0" xfId="0">
      <alignment vertical="center"/>
    </xf>
    <xf applyAlignment="true" applyBorder="false" applyFill="false" applyFont="true" applyNumberFormat="false" applyProtection="false" borderId="67" fillId="0" fontId="3" numFmtId="0" xfId="0">
      <alignment horizontal="center" vertical="center"/>
    </xf>
    <xf applyAlignment="true" applyBorder="false" applyFill="true" applyFont="true" applyNumberFormat="false" applyProtection="false" borderId="67" fillId="54" fontId="3" numFmtId="0" xfId="0">
      <alignment horizontal="center" vertical="center" wrapText="true"/>
    </xf>
    <xf applyAlignment="true" applyBorder="false" applyFill="true" applyFont="true" applyNumberFormat="false" applyProtection="false" borderId="67" fillId="54" fontId="3" numFmtId="0" xfId="0">
      <alignment vertical="center" wrapText="true"/>
    </xf>
    <xf applyAlignment="true" applyBorder="false" applyFill="true" applyFont="true" applyNumberFormat="false" applyProtection="false" borderId="67" fillId="54" fontId="3" numFmtId="0" xfId="0">
      <alignment horizontal="center" vertical="center"/>
    </xf>
    <xf applyAlignment="true" applyBorder="false" applyFill="true" applyFont="true" applyNumberFormat="false" applyProtection="false" borderId="67" fillId="54" fontId="4" numFmtId="0" xfId="0">
      <alignment horizontal="center" vertical="center"/>
    </xf>
    <xf applyAlignment="true" applyBorder="false" applyFill="true" applyFont="true" applyNumberFormat="false" applyProtection="false" borderId="67" fillId="54" fontId="4" numFmtId="0" xfId="0">
      <alignment horizontal="center" vertical="center"/>
    </xf>
    <xf applyAlignment="true" applyBorder="false" applyFill="true" applyFont="true" applyNumberFormat="false" applyProtection="false" borderId="67" fillId="54"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67" fillId="0" fontId="3"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67" fillId="55" fontId="3" numFmtId="0" xfId="0">
      <alignment horizontal="center" vertical="center" wrapText="true"/>
    </xf>
    <xf applyAlignment="true" applyBorder="false" applyFill="true" applyFont="true" applyNumberFormat="false" applyProtection="false" borderId="67" fillId="55" fontId="3" numFmtId="0" xfId="0">
      <alignment vertical="center" wrapText="true"/>
    </xf>
    <xf applyAlignment="true" applyBorder="false" applyFill="true" applyFont="true" applyNumberFormat="false" applyProtection="false" borderId="67" fillId="55" fontId="3" numFmtId="0" xfId="0">
      <alignment horizontal="center" vertical="center"/>
    </xf>
    <xf applyAlignment="true" applyBorder="false" applyFill="true" applyFont="true" applyNumberFormat="false" applyProtection="false" borderId="67" fillId="55" fontId="4" numFmtId="0" xfId="0">
      <alignment horizontal="center" vertical="center"/>
    </xf>
    <xf applyAlignment="true" applyBorder="false" applyFill="true" applyFont="true" applyNumberFormat="false" applyProtection="false" borderId="67" fillId="55" fontId="3" numFmtId="0" xfId="0">
      <alignment horizontal="center" vertical="center"/>
    </xf>
    <xf applyAlignment="true" applyBorder="false" applyFill="false" applyFont="true" applyNumberFormat="false" applyProtection="false" borderId="68" fillId="0" fontId="5" numFmtId="0" xfId="0">
      <alignment horizontal="center" vertical="center"/>
    </xf>
    <xf applyAlignment="true" applyBorder="false" applyFill="true" applyFont="true" applyNumberFormat="false" applyProtection="false" borderId="67" fillId="56" fontId="5" numFmtId="0" xfId="0">
      <alignment horizontal="center" vertical="center"/>
    </xf>
    <xf applyAlignment="true" applyBorder="false" applyFill="true" applyFont="true" applyNumberFormat="false" applyProtection="false" borderId="67" fillId="56" fontId="3" numFmtId="0" xfId="0">
      <alignment vertical="center"/>
    </xf>
    <xf applyAlignment="true" applyBorder="false" applyFill="true" applyFont="true" applyNumberFormat="false" applyProtection="false" borderId="67" fillId="56" fontId="3" numFmtId="0" xfId="0">
      <alignment horizontal="center" vertical="center"/>
    </xf>
    <xf applyAlignment="true" applyBorder="false" applyFill="true" applyFont="true" applyNumberFormat="false" applyProtection="false" borderId="67" fillId="56" fontId="4" numFmtId="0" xfId="0">
      <alignment horizontal="center" vertical="center"/>
    </xf>
    <xf applyAlignment="true" applyBorder="false" applyFill="true" applyFont="true" applyNumberFormat="false" applyProtection="false" borderId="67" fillId="56" fontId="3" numFmtId="0" xfId="0">
      <alignment horizontal="center" vertical="center"/>
    </xf>
    <xf applyAlignment="true" applyBorder="false" applyFill="true" applyFont="true" applyNumberFormat="false" applyProtection="false" borderId="67" fillId="57" fontId="5" numFmtId="0" xfId="0">
      <alignment horizontal="center" vertical="center"/>
    </xf>
    <xf applyAlignment="true" applyBorder="false" applyFill="true" applyFont="true" applyNumberFormat="false" applyProtection="false" borderId="67" fillId="57" fontId="3" numFmtId="0" xfId="0">
      <alignment vertical="center" wrapText="true"/>
    </xf>
    <xf applyAlignment="true" applyBorder="false" applyFill="true" applyFont="true" applyNumberFormat="false" applyProtection="false" borderId="67" fillId="57" fontId="3" numFmtId="0" xfId="0">
      <alignment horizontal="center" vertical="center"/>
    </xf>
    <xf applyAlignment="true" applyBorder="false" applyFill="true" applyFont="true" applyNumberFormat="false" applyProtection="false" borderId="67" fillId="57" fontId="4" numFmtId="0" xfId="0">
      <alignment horizontal="center" vertical="center"/>
    </xf>
    <xf applyAlignment="true" applyBorder="false" applyFill="true" applyFont="true" applyNumberFormat="false" applyProtection="false" borderId="67" fillId="57" fontId="3" numFmtId="0" xfId="0">
      <alignment horizontal="center" vertical="center"/>
    </xf>
    <xf applyAlignment="true" applyBorder="false" applyFill="true" applyFont="true" applyNumberFormat="false" applyProtection="false" borderId="67" fillId="57" fontId="4" numFmtId="0" xfId="0">
      <alignment horizontal="center" vertical="center"/>
    </xf>
    <xf applyAlignment="true" applyBorder="false" applyFill="true" applyFont="true" applyNumberFormat="false" applyProtection="false" borderId="67" fillId="58" fontId="5" numFmtId="0" xfId="0">
      <alignment horizontal="center" vertical="center"/>
    </xf>
    <xf applyAlignment="true" applyBorder="false" applyFill="true" applyFont="true" applyNumberFormat="false" applyProtection="false" borderId="67" fillId="58" fontId="3" numFmtId="0" xfId="0">
      <alignment vertical="center" wrapText="true"/>
    </xf>
    <xf applyAlignment="true" applyBorder="false" applyFill="true" applyFont="true" applyNumberFormat="false" applyProtection="false" borderId="67" fillId="58" fontId="3" numFmtId="0" xfId="0">
      <alignment horizontal="center" vertical="center"/>
    </xf>
    <xf applyAlignment="true" applyBorder="false" applyFill="true" applyFont="true" applyNumberFormat="false" applyProtection="false" borderId="67" fillId="58" fontId="4" numFmtId="0" xfId="0">
      <alignment horizontal="center" vertical="center"/>
    </xf>
    <xf applyAlignment="true" applyBorder="false" applyFill="true" applyFont="true" applyNumberFormat="false" applyProtection="false" borderId="67" fillId="58" fontId="3" numFmtId="0" xfId="0">
      <alignment horizontal="center" vertical="center"/>
    </xf>
    <xf applyAlignment="true" applyBorder="false" applyFill="false" applyFont="true" applyNumberFormat="false" applyProtection="false" borderId="68" fillId="0" fontId="2" numFmtId="0" xfId="0">
      <alignment horizontal="center" vertical="center" wrapText="true"/>
    </xf>
    <xf applyAlignment="true" applyBorder="false" applyFill="false" applyFont="true" applyNumberFormat="false" applyProtection="false" borderId="68" fillId="0" fontId="5" numFmtId="0" xfId="0">
      <alignment horizontal="center" vertical="center"/>
    </xf>
    <xf applyAlignment="true" applyBorder="false" applyFill="false" applyFont="true" applyNumberFormat="false" applyProtection="false" borderId="68" fillId="0" fontId="2" numFmtId="0" xfId="0">
      <alignment horizontal="center" vertical="center"/>
    </xf>
    <xf applyAlignment="true" applyBorder="false" applyFill="false" applyFont="true" applyNumberFormat="false" applyProtection="false" borderId="68" fillId="0" fontId="2" numFmtId="0" xfId="0">
      <alignment vertical="center"/>
    </xf>
    <xf applyAlignment="true" applyBorder="false" applyFill="true" applyFont="true" applyNumberFormat="false" applyProtection="false" borderId="67" fillId="54" fontId="3" numFmtId="0" xfId="0">
      <alignment horizontal="left" vertical="center" wrapText="true"/>
    </xf>
    <xf applyAlignment="true" applyBorder="false" applyFill="true" applyFont="true" applyNumberFormat="false" applyProtection="false" borderId="67" fillId="54" fontId="4" numFmtId="0" xfId="0">
      <alignment vertical="center"/>
    </xf>
    <xf applyAlignment="true" applyBorder="false" applyFill="false" applyFont="true" applyNumberFormat="false" applyProtection="false" borderId="67" fillId="0" fontId="3" numFmtId="0" xfId="0">
      <alignment horizontal="center" vertical="center" wrapText="true"/>
    </xf>
    <xf applyAlignment="true" applyBorder="false" applyFill="false" applyFont="true" applyNumberFormat="false" applyProtection="false" borderId="67" fillId="0" fontId="3" numFmtId="0" xfId="0">
      <alignment horizontal="left" vertical="center"/>
    </xf>
    <xf applyAlignment="true" applyBorder="false" applyFill="false" applyFont="true" applyNumberFormat="false" applyProtection="false" borderId="67" fillId="0" fontId="3" numFmtId="0" xfId="0">
      <alignment horizontal="center" vertical="center"/>
    </xf>
    <xf applyAlignment="true" applyBorder="false" applyFill="false" applyFont="true" applyNumberFormat="false" applyProtection="false" borderId="67" fillId="0" fontId="4" numFmtId="0" xfId="0">
      <alignment horizontal="center" vertical="center"/>
    </xf>
    <xf applyAlignment="true" applyBorder="false" applyFill="false" applyFont="true" applyNumberFormat="false" applyProtection="false" borderId="67" fillId="0" fontId="4" numFmtId="0" xfId="0">
      <alignment vertical="center"/>
    </xf>
    <xf applyAlignment="true" applyBorder="false" applyFill="true" applyFont="true" applyNumberFormat="false" applyProtection="false" borderId="67" fillId="59" fontId="3" numFmtId="0" xfId="0">
      <alignment horizontal="center" vertical="center"/>
    </xf>
    <xf applyAlignment="true" applyBorder="false" applyFill="true" applyFont="true" applyNumberFormat="false" applyProtection="false" borderId="67" fillId="59" fontId="3" numFmtId="0" xfId="0">
      <alignment horizontal="center" vertical="center"/>
    </xf>
    <xf applyAlignment="true" applyBorder="false" applyFill="true" applyFont="true" applyNumberFormat="false" applyProtection="false" borderId="67" fillId="59" fontId="4" numFmtId="0" xfId="0">
      <alignment horizontal="center" vertical="center"/>
    </xf>
    <xf applyAlignment="true" applyBorder="false" applyFill="true" applyFont="true" applyNumberFormat="false" applyProtection="false" borderId="67" fillId="59" fontId="4" numFmtId="0" xfId="0">
      <alignment vertical="center"/>
    </xf>
    <xf applyAlignment="true" applyBorder="false" applyFill="false" applyFont="true" applyNumberFormat="false" applyProtection="false" borderId="67" fillId="0" fontId="4" numFmtId="0" xfId="0">
      <alignment vertical="center"/>
    </xf>
    <xf applyAlignment="true" applyBorder="false" applyFill="false" applyFont="true" applyNumberFormat="false" applyProtection="false" borderId="69" fillId="0" fontId="4" numFmtId="0" xfId="0">
      <alignment vertical="center"/>
    </xf>
    <xf applyAlignment="true" applyBorder="false" applyFill="false" applyFont="true" applyNumberFormat="false" applyProtection="false" borderId="69" fillId="0" fontId="4" numFmtId="0" xfId="0">
      <alignment vertical="center"/>
    </xf>
    <xf applyAlignment="true" applyBorder="false" applyFill="false" applyFont="true" applyNumberFormat="false" applyProtection="false" borderId="70" fillId="0" fontId="4" numFmtId="0" xfId="0">
      <alignment vertical="center"/>
    </xf>
    <xf applyAlignment="true" applyBorder="false" applyFill="false" applyFont="true" applyNumberFormat="false" applyProtection="false" borderId="64" fillId="0" fontId="2" numFmtId="0" xfId="0">
      <alignment vertical="center"/>
    </xf>
    <xf applyAlignment="true" applyBorder="false" applyFill="false" applyFont="true" applyNumberFormat="false" applyProtection="false" borderId="71" fillId="0" fontId="2" numFmtId="0" xfId="0">
      <alignment vertical="center"/>
    </xf>
    <xf applyAlignment="true" applyBorder="false" applyFill="false" applyFont="true" applyNumberFormat="false" applyProtection="false" borderId="67" fillId="0" fontId="2" numFmtId="0" xfId="0">
      <alignment vertical="center"/>
    </xf>
    <xf applyAlignment="true" applyBorder="false" applyFill="false" applyFont="true" applyNumberFormat="false" applyProtection="false" borderId="72" fillId="0" fontId="4" numFmtId="0" xfId="0">
      <alignment vertical="center"/>
    </xf>
    <xf applyAlignment="true" applyBorder="false" applyFill="false" applyFont="true" applyNumberFormat="false" applyProtection="false" borderId="73" fillId="0" fontId="1" numFmtId="0" xfId="0">
      <alignment horizontal="center" vertical="center" wrapText="true"/>
    </xf>
    <xf applyAlignment="true" applyBorder="false" applyFill="false" applyFont="true" applyNumberFormat="false" applyProtection="false" borderId="73" fillId="0" fontId="1" numFmtId="0" xfId="0">
      <alignment horizontal="center" vertical="center" wrapText="true"/>
    </xf>
    <xf applyAlignment="true" applyBorder="false" applyFill="false" applyFont="true" applyNumberFormat="true" applyProtection="false" borderId="73" fillId="0" fontId="1" numFmtId="172" xfId="0">
      <alignment horizontal="center" vertical="center" wrapText="true"/>
    </xf>
    <xf applyAlignment="true" applyBorder="false" applyFill="false" applyFont="true" applyNumberFormat="false" applyProtection="false" borderId="74"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75" fillId="0" fontId="6" numFmtId="0" xfId="0">
      <alignment horizontal="left" vertical="center" wrapText="true"/>
    </xf>
    <xf applyAlignment="true" applyBorder="false" applyFill="true" applyFont="true" applyNumberFormat="false" applyProtection="false" borderId="76" fillId="60" fontId="3" numFmtId="0" xfId="0">
      <alignment horizontal="center" vertical="center"/>
    </xf>
    <xf applyAlignment="true" applyBorder="false" applyFill="false" applyFont="true" applyNumberFormat="false" applyProtection="false" borderId="76" fillId="0" fontId="3" numFmtId="0" xfId="0">
      <alignment horizontal="center" vertical="center"/>
    </xf>
    <xf applyAlignment="true" applyBorder="false" applyFill="true" applyFont="true" applyNumberFormat="false" applyProtection="false" borderId="76" fillId="61" fontId="3" numFmtId="0" xfId="0">
      <alignment horizontal="center" vertical="center"/>
    </xf>
    <xf applyAlignment="true" applyBorder="false" applyFill="true" applyFont="true" applyNumberFormat="false" applyProtection="false" borderId="76" fillId="61" fontId="3" numFmtId="0" xfId="0">
      <alignment vertical="center" wrapText="true"/>
    </xf>
    <xf applyAlignment="true" applyBorder="false" applyFill="true" applyFont="true" applyNumberFormat="false" applyProtection="false" borderId="76" fillId="61" fontId="4" numFmtId="0" xfId="0">
      <alignment horizontal="center" vertical="center"/>
    </xf>
    <xf applyAlignment="true" applyBorder="false" applyFill="true" applyFont="true" applyNumberFormat="false" applyProtection="false" borderId="76" fillId="61"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76" fillId="60" fontId="5" numFmtId="0" xfId="0">
      <alignment horizontal="center" vertical="center"/>
    </xf>
    <xf applyAlignment="true" applyBorder="false" applyFill="true" applyFont="true" applyNumberFormat="false" applyProtection="false" borderId="76" fillId="60" fontId="3" numFmtId="0" xfId="0">
      <alignment vertical="center"/>
    </xf>
    <xf applyAlignment="true" applyBorder="false" applyFill="true" applyFont="true" applyNumberFormat="false" applyProtection="false" borderId="76" fillId="60" fontId="4" numFmtId="0" xfId="0">
      <alignment horizontal="center" vertical="center"/>
    </xf>
    <xf applyAlignment="true" applyBorder="false" applyFill="true" applyFont="true" applyNumberFormat="false" applyProtection="false" borderId="76" fillId="60" fontId="3" numFmtId="0" xfId="0">
      <alignment horizontal="center"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76" fillId="0" fontId="4" numFmtId="0" xfId="0">
      <alignment horizontal="center" vertical="center" wrapText="true"/>
    </xf>
    <xf applyAlignment="true" applyBorder="false" applyFill="false" applyFont="true" applyNumberFormat="false" applyProtection="false" borderId="76" fillId="0" fontId="3" numFmtId="0" xfId="0">
      <alignment horizontal="center" vertical="center"/>
    </xf>
    <xf applyAlignment="true" applyBorder="false" applyFill="false" applyFont="true" applyNumberFormat="false" applyProtection="false" borderId="76" fillId="0" fontId="4" numFmtId="0" xfId="0">
      <alignment horizontal="center" vertical="center"/>
    </xf>
    <xf applyAlignment="true" applyBorder="false" applyFill="false" applyFont="true" applyNumberFormat="false" applyProtection="false" borderId="76"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76" fillId="62" fontId="3" numFmtId="0" xfId="0">
      <alignment horizontal="center" vertical="center" wrapText="true"/>
    </xf>
    <xf applyAlignment="true" applyBorder="false" applyFill="true" applyFont="true" applyNumberFormat="false" applyProtection="false" borderId="76" fillId="62" fontId="3" numFmtId="0" xfId="0">
      <alignment horizontal="left" vertical="center" wrapText="true"/>
    </xf>
    <xf applyAlignment="true" applyBorder="false" applyFill="true" applyFont="true" applyNumberFormat="false" applyProtection="false" borderId="76" fillId="62" fontId="3" numFmtId="0" xfId="0">
      <alignment horizontal="center" vertical="center"/>
    </xf>
    <xf applyAlignment="true" applyBorder="false" applyFill="true" applyFont="true" applyNumberFormat="false" applyProtection="false" borderId="76" fillId="62" fontId="4" numFmtId="0" xfId="0">
      <alignment horizontal="center" vertical="center"/>
    </xf>
    <xf applyAlignment="true" applyBorder="false" applyFill="true" applyFont="true" applyNumberFormat="false" applyProtection="false" borderId="76" fillId="62" fontId="4" numFmtId="0" xfId="0">
      <alignment vertical="center"/>
    </xf>
    <xf applyAlignment="true" applyBorder="false" applyFill="true" applyFont="true" applyNumberFormat="false" applyProtection="false" borderId="77" fillId="62" fontId="5" numFmtId="0" xfId="0">
      <alignment horizontal="center" vertical="center"/>
    </xf>
    <xf applyAlignment="true" applyBorder="false" applyFill="false" applyFont="true" applyNumberFormat="false" applyProtection="false" borderId="77" fillId="0" fontId="2" numFmtId="0" xfId="0">
      <alignment horizontal="center" vertical="center" wrapText="true"/>
    </xf>
    <xf applyAlignment="true" applyBorder="false" applyFill="false" applyFont="true" applyNumberFormat="false" applyProtection="false" borderId="77" fillId="0" fontId="5" numFmtId="0" xfId="0">
      <alignment horizontal="center" vertical="center"/>
    </xf>
    <xf applyAlignment="true" applyBorder="false" applyFill="false" applyFont="true" applyNumberFormat="false" applyProtection="false" borderId="77" fillId="0" fontId="2" numFmtId="0" xfId="0">
      <alignment horizontal="center" vertical="center"/>
    </xf>
    <xf applyAlignment="true" applyBorder="false" applyFill="false" applyFont="true" applyNumberFormat="false" applyProtection="false" borderId="77" fillId="0" fontId="2" numFmtId="0" xfId="0">
      <alignment vertical="center"/>
    </xf>
    <xf applyAlignment="true" applyBorder="false" applyFill="true" applyFont="true" applyNumberFormat="false" applyProtection="false" borderId="76" fillId="63" fontId="3" numFmtId="0" xfId="0">
      <alignment horizontal="center" vertical="center" wrapText="true"/>
    </xf>
    <xf applyAlignment="true" applyBorder="false" applyFill="true" applyFont="true" applyNumberFormat="false" applyProtection="false" borderId="76" fillId="63" fontId="3" numFmtId="0" xfId="0">
      <alignment horizontal="center" vertical="center"/>
    </xf>
    <xf applyAlignment="true" applyBorder="false" applyFill="true" applyFont="true" applyNumberFormat="false" applyProtection="false" borderId="76" fillId="63"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76" fillId="64" fontId="3" numFmtId="0" xfId="0">
      <alignment horizontal="center" vertical="center" wrapText="true"/>
    </xf>
    <xf applyAlignment="true" applyBorder="false" applyFill="false" applyFont="true" applyNumberFormat="false" applyProtection="false" borderId="76" fillId="0" fontId="3" numFmtId="0" xfId="0">
      <alignment horizontal="center" vertical="center" wrapText="true"/>
    </xf>
    <xf applyAlignment="true" applyBorder="false" applyFill="true" applyFont="true" applyNumberFormat="false" applyProtection="false" borderId="76" fillId="64" fontId="3" numFmtId="0" xfId="0">
      <alignment vertical="center" wrapText="true"/>
    </xf>
    <xf applyAlignment="true" applyBorder="false" applyFill="true" applyFont="true" applyNumberFormat="false" applyProtection="false" borderId="76" fillId="64" fontId="3" numFmtId="0" xfId="0">
      <alignment horizontal="center" vertical="center"/>
    </xf>
    <xf applyAlignment="true" applyBorder="false" applyFill="true" applyFont="true" applyNumberFormat="false" applyProtection="false" borderId="76" fillId="64" fontId="4" numFmtId="0" xfId="0">
      <alignment horizontal="center" vertical="center"/>
    </xf>
    <xf applyAlignment="true" applyBorder="false" applyFill="true" applyFont="true" applyNumberFormat="false" applyProtection="false" borderId="76" fillId="64" fontId="3" numFmtId="0" xfId="0">
      <alignment horizontal="center" vertical="center"/>
    </xf>
    <xf applyAlignment="true" applyBorder="false" applyFill="true" applyFont="true" applyNumberFormat="false" applyProtection="false" borderId="76" fillId="65" fontId="3" numFmtId="0" xfId="0">
      <alignment horizontal="center" vertical="center" wrapText="true"/>
    </xf>
    <xf applyAlignment="true" applyBorder="false" applyFill="true" applyFont="true" applyNumberFormat="false" applyProtection="false" borderId="76" fillId="65" fontId="3" numFmtId="0" xfId="0">
      <alignment horizontal="left" vertical="center"/>
    </xf>
    <xf applyAlignment="true" applyBorder="false" applyFill="true" applyFont="true" applyNumberFormat="false" applyProtection="false" borderId="76" fillId="65" fontId="3" numFmtId="0" xfId="0">
      <alignment horizontal="center" vertical="center"/>
    </xf>
    <xf applyAlignment="true" applyBorder="false" applyFill="true" applyFont="true" applyNumberFormat="false" applyProtection="false" borderId="76" fillId="65" fontId="4" numFmtId="0" xfId="0">
      <alignment horizontal="center" vertical="center"/>
    </xf>
    <xf applyAlignment="true" applyBorder="false" applyFill="true" applyFont="true" applyNumberFormat="false" applyProtection="false" borderId="76" fillId="65" fontId="4" numFmtId="0" xfId="0">
      <alignment vertical="center"/>
    </xf>
    <xf applyAlignment="true" applyBorder="false" applyFill="true" applyFont="true" applyNumberFormat="false" applyProtection="false" borderId="77" fillId="65" fontId="5" numFmtId="0" xfId="0">
      <alignment horizontal="center" vertical="center"/>
    </xf>
    <xf applyAlignment="true" applyBorder="false" applyFill="true" applyFont="true" applyNumberFormat="false" applyProtection="false" borderId="76" fillId="60" fontId="3" numFmtId="0" xfId="0">
      <alignment horizontal="center" vertical="center" wrapText="true"/>
    </xf>
    <xf applyAlignment="true" applyBorder="false" applyFill="true" applyFont="true" applyNumberFormat="false" applyProtection="false" borderId="76" fillId="60" fontId="3" numFmtId="0" xfId="0">
      <alignment horizontal="left" vertical="center"/>
    </xf>
    <xf applyAlignment="true" applyBorder="false" applyFill="true" applyFont="true" applyNumberFormat="false" applyProtection="false" borderId="76" fillId="60" fontId="4" numFmtId="0" xfId="0">
      <alignment vertical="center"/>
    </xf>
    <xf applyAlignment="true" applyBorder="false" applyFill="true" applyFont="true" applyNumberFormat="false" applyProtection="false" borderId="77" fillId="60" fontId="5" numFmtId="0" xfId="0">
      <alignment horizontal="center" vertical="center"/>
    </xf>
    <xf applyAlignment="true" applyBorder="false" applyFill="true" applyFont="true" applyNumberFormat="false" applyProtection="false" borderId="76" fillId="66" fontId="3" numFmtId="0" xfId="0">
      <alignment horizontal="center" vertical="center" wrapText="true"/>
    </xf>
    <xf applyAlignment="true" applyBorder="false" applyFill="true" applyFont="true" applyNumberFormat="false" applyProtection="false" borderId="76" fillId="66" fontId="3" numFmtId="0" xfId="0">
      <alignment vertical="center" wrapText="true"/>
    </xf>
    <xf applyAlignment="true" applyBorder="false" applyFill="true" applyFont="true" applyNumberFormat="false" applyProtection="false" borderId="76" fillId="66" fontId="3" numFmtId="0" xfId="0">
      <alignment horizontal="center" vertical="center"/>
    </xf>
    <xf applyAlignment="true" applyBorder="false" applyFill="true" applyFont="true" applyNumberFormat="false" applyProtection="false" borderId="76" fillId="66" fontId="4" numFmtId="0" xfId="0">
      <alignment horizontal="center" vertical="center"/>
    </xf>
    <xf applyAlignment="true" applyBorder="false" applyFill="true" applyFont="true" applyNumberFormat="false" applyProtection="false" borderId="76" fillId="66" fontId="3" numFmtId="0" xfId="0">
      <alignment horizontal="center" vertical="center"/>
    </xf>
    <xf applyAlignment="true" applyBorder="false" applyFill="true" applyFont="true" applyNumberFormat="false" applyProtection="false" borderId="76" fillId="62" fontId="5" numFmtId="0" xfId="0">
      <alignment horizontal="center" vertical="center"/>
    </xf>
    <xf applyAlignment="true" applyBorder="false" applyFill="true" applyFont="true" applyNumberFormat="false" applyProtection="false" borderId="76" fillId="62" fontId="3" numFmtId="0" xfId="0">
      <alignment vertical="center" wrapText="true"/>
    </xf>
    <xf applyAlignment="true" applyBorder="false" applyFill="true" applyFont="true" applyNumberFormat="false" applyProtection="false" borderId="76" fillId="62" fontId="3" numFmtId="0" xfId="0">
      <alignment horizontal="center" vertical="center"/>
    </xf>
    <xf applyAlignment="true" applyBorder="false" applyFill="true" applyFont="true" applyNumberFormat="false" applyProtection="false" borderId="76" fillId="67" fontId="5" numFmtId="0" xfId="0">
      <alignment horizontal="center" vertical="center"/>
    </xf>
    <xf applyAlignment="true" applyBorder="false" applyFill="true" applyFont="true" applyNumberFormat="false" applyProtection="false" borderId="76" fillId="67" fontId="3" numFmtId="0" xfId="0">
      <alignment vertical="center" wrapText="true"/>
    </xf>
    <xf applyAlignment="true" applyBorder="false" applyFill="true" applyFont="true" applyNumberFormat="false" applyProtection="false" borderId="76" fillId="67" fontId="3" numFmtId="0" xfId="0">
      <alignment horizontal="center" vertical="center"/>
    </xf>
    <xf applyAlignment="true" applyBorder="false" applyFill="true" applyFont="true" applyNumberFormat="false" applyProtection="false" borderId="76" fillId="67" fontId="4" numFmtId="0" xfId="0">
      <alignment horizontal="center" vertical="center"/>
    </xf>
    <xf applyAlignment="true" applyBorder="false" applyFill="true" applyFont="true" applyNumberFormat="false" applyProtection="false" borderId="76" fillId="67" fontId="4" numFmtId="0" xfId="0">
      <alignment horizontal="center" vertical="center"/>
    </xf>
    <xf applyAlignment="true" applyBorder="false" applyFill="true" applyFont="true" applyNumberFormat="false" applyProtection="false" borderId="76" fillId="67" fontId="3" numFmtId="0" xfId="0">
      <alignment horizontal="center" vertical="center"/>
    </xf>
    <xf applyAlignment="true" applyBorder="false" applyFill="true" applyFont="true" applyNumberFormat="false" applyProtection="false" borderId="76" fillId="64" fontId="3" numFmtId="0" xfId="0">
      <alignment horizontal="left" vertical="center" wrapText="true"/>
    </xf>
    <xf applyAlignment="true" applyBorder="false" applyFill="true" applyFont="true" applyNumberFormat="false" applyProtection="false" borderId="76" fillId="64" fontId="4" numFmtId="0" xfId="0">
      <alignment vertical="center"/>
    </xf>
    <xf applyAlignment="true" applyBorder="false" applyFill="true" applyFont="true" applyNumberFormat="false" applyProtection="false" borderId="76" fillId="66" fontId="3" numFmtId="0" xfId="0">
      <alignment horizontal="left" vertical="center" wrapText="true"/>
    </xf>
    <xf applyAlignment="true" applyBorder="false" applyFill="true" applyFont="true" applyNumberFormat="false" applyProtection="false" borderId="76" fillId="66" fontId="4" numFmtId="0" xfId="0">
      <alignment vertical="center"/>
    </xf>
    <xf applyAlignment="true" applyBorder="false" applyFill="true" applyFont="true" applyNumberFormat="false" applyProtection="false" borderId="77" fillId="66" fontId="5" numFmtId="0" xfId="0">
      <alignment horizontal="center" vertical="center"/>
    </xf>
    <xf applyAlignment="true" applyBorder="false" applyFill="true" applyFont="true" applyNumberFormat="false" applyProtection="false" borderId="76" fillId="63" fontId="4" numFmtId="0" xfId="0">
      <alignment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76" fillId="60" fontId="3" numFmtId="0" xfId="0">
      <alignment horizontal="left" vertical="center" wrapText="true"/>
    </xf>
    <xf applyAlignment="true" applyBorder="false" applyFill="true" applyFont="true" applyNumberFormat="false" applyProtection="false" borderId="76" fillId="68" fontId="3" numFmtId="0" xfId="0">
      <alignment horizontal="center" vertical="center" wrapText="true"/>
    </xf>
    <xf applyAlignment="true" applyBorder="false" applyFill="true" applyFont="true" applyNumberFormat="false" applyProtection="false" borderId="76" fillId="68" fontId="3" numFmtId="0" xfId="0">
      <alignment horizontal="left" vertical="center"/>
    </xf>
    <xf applyAlignment="true" applyBorder="false" applyFill="true" applyFont="true" applyNumberFormat="false" applyProtection="false" borderId="76" fillId="68" fontId="3" numFmtId="0" xfId="0">
      <alignment horizontal="center" vertical="center"/>
    </xf>
    <xf applyAlignment="true" applyBorder="false" applyFill="true" applyFont="true" applyNumberFormat="false" applyProtection="false" borderId="76" fillId="68" fontId="4" numFmtId="0" xfId="0">
      <alignment horizontal="center" vertical="center"/>
    </xf>
    <xf applyAlignment="true" applyBorder="false" applyFill="true" applyFont="true" applyNumberFormat="false" applyProtection="false" borderId="76" fillId="68" fontId="4" numFmtId="0" xfId="0">
      <alignment vertical="center"/>
    </xf>
    <xf applyAlignment="true" applyBorder="false" applyFill="true" applyFont="true" applyNumberFormat="false" applyProtection="false" borderId="77" fillId="68" fontId="5" numFmtId="0" xfId="0">
      <alignment horizontal="center" vertical="center"/>
    </xf>
    <xf applyAlignment="true" applyBorder="false" applyFill="true" applyFont="true" applyNumberFormat="false" applyProtection="false" borderId="76" fillId="62" fontId="3" numFmtId="0" xfId="0">
      <alignment horizontal="left" vertical="center"/>
    </xf>
    <xf applyAlignment="true" applyBorder="false" applyFill="true" applyFont="true" applyNumberFormat="false" applyProtection="false" borderId="76" fillId="63" fontId="3" numFmtId="0" xfId="0">
      <alignment horizontal="center" vertical="center"/>
    </xf>
    <xf applyAlignment="true" applyBorder="false" applyFill="true" applyFont="true" applyNumberFormat="false" applyProtection="false" borderId="76" fillId="63" fontId="4" numFmtId="0" xfId="0">
      <alignment vertical="center"/>
    </xf>
    <xf applyAlignment="true" applyBorder="false" applyFill="false" applyFont="true" applyNumberFormat="false" applyProtection="false" borderId="76" fillId="0" fontId="4" numFmtId="0" xfId="0">
      <alignment vertical="center"/>
    </xf>
    <xf applyAlignment="true" applyBorder="false" applyFill="false" applyFont="true" applyNumberFormat="false" applyProtection="false" borderId="78" fillId="0" fontId="4" numFmtId="0" xfId="0">
      <alignment vertical="center"/>
    </xf>
    <xf applyAlignment="true" applyBorder="false" applyFill="false" applyFont="true" applyNumberFormat="false" applyProtection="false" borderId="78" fillId="0" fontId="4" numFmtId="0" xfId="0">
      <alignment vertical="center"/>
    </xf>
    <xf applyAlignment="true" applyBorder="false" applyFill="false" applyFont="true" applyNumberFormat="false" applyProtection="false" borderId="79" fillId="0" fontId="4" numFmtId="0" xfId="0">
      <alignment vertical="center"/>
    </xf>
    <xf applyAlignment="true" applyBorder="false" applyFill="false" applyFont="true" applyNumberFormat="false" applyProtection="false" borderId="73" fillId="0" fontId="2" numFmtId="0" xfId="0">
      <alignment vertical="center"/>
    </xf>
    <xf applyAlignment="true" applyBorder="false" applyFill="false" applyFont="true" applyNumberFormat="false" applyProtection="false" borderId="80" fillId="0" fontId="2" numFmtId="0" xfId="0">
      <alignment vertical="center"/>
    </xf>
    <xf applyAlignment="true" applyBorder="false" applyFill="false" applyFont="true" applyNumberFormat="false" applyProtection="false" borderId="76" fillId="0" fontId="2" numFmtId="0" xfId="0">
      <alignment vertical="center"/>
    </xf>
    <xf applyAlignment="true" applyBorder="false" applyFill="false" applyFont="true" applyNumberFormat="false" applyProtection="false" borderId="81" fillId="0" fontId="4" numFmtId="0" xfId="0">
      <alignment vertical="center"/>
    </xf>
    <xf applyAlignment="true" applyBorder="false" applyFill="false" applyFont="true" applyNumberFormat="false" applyProtection="false" borderId="82" fillId="0" fontId="1" numFmtId="0" xfId="0">
      <alignment horizontal="center" vertical="center" wrapText="true"/>
    </xf>
    <xf applyAlignment="true" applyBorder="false" applyFill="false" applyFont="true" applyNumberFormat="false" applyProtection="false" borderId="82" fillId="0" fontId="1" numFmtId="0" xfId="0">
      <alignment horizontal="center" vertical="center" wrapText="true"/>
    </xf>
    <xf applyAlignment="true" applyBorder="false" applyFill="false" applyFont="true" applyNumberFormat="true" applyProtection="false" borderId="82" fillId="0" fontId="1" numFmtId="173" xfId="0">
      <alignment horizontal="center" vertical="center" wrapText="true"/>
    </xf>
    <xf applyAlignment="true" applyBorder="false" applyFill="false" applyFont="true" applyNumberFormat="false" applyProtection="false" borderId="83"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84" fillId="0" fontId="6" numFmtId="0" xfId="0">
      <alignment horizontal="left" vertical="center" wrapText="true"/>
    </xf>
    <xf applyAlignment="true" applyBorder="false" applyFill="true" applyFont="true" applyNumberFormat="false" applyProtection="false" borderId="85" fillId="69" fontId="3" numFmtId="0" xfId="0">
      <alignment horizontal="center" vertical="center"/>
    </xf>
    <xf applyAlignment="true" applyBorder="false" applyFill="false" applyFont="true" applyNumberFormat="false" applyProtection="false" borderId="85" fillId="0" fontId="3" numFmtId="0" xfId="0">
      <alignment horizontal="center" vertical="center"/>
    </xf>
    <xf applyAlignment="true" applyBorder="false" applyFill="true" applyFont="true" applyNumberFormat="false" applyProtection="false" borderId="85" fillId="70" fontId="3" numFmtId="0" xfId="0">
      <alignment horizontal="center" vertical="center" wrapText="true"/>
    </xf>
    <xf applyAlignment="true" applyBorder="false" applyFill="true" applyFont="true" applyNumberFormat="false" applyProtection="false" borderId="85" fillId="70" fontId="3" numFmtId="0" xfId="0">
      <alignment vertical="center" wrapText="true"/>
    </xf>
    <xf applyAlignment="true" applyBorder="false" applyFill="true" applyFont="true" applyNumberFormat="false" applyProtection="false" borderId="85" fillId="70" fontId="3" numFmtId="0" xfId="0">
      <alignment horizontal="center" vertical="center"/>
    </xf>
    <xf applyAlignment="true" applyBorder="false" applyFill="true" applyFont="true" applyNumberFormat="false" applyProtection="false" borderId="85" fillId="70" fontId="4" numFmtId="0" xfId="0">
      <alignment horizontal="center" vertical="center"/>
    </xf>
    <xf applyAlignment="true" applyBorder="false" applyFill="true" applyFont="true" applyNumberFormat="false" applyProtection="false" borderId="85" fillId="70"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85" fillId="70" fontId="4" numFmtId="0" xfId="0">
      <alignment horizontal="center" vertical="center"/>
    </xf>
    <xf applyAlignment="true" applyBorder="false" applyFill="true" applyFont="true" applyNumberFormat="false" applyProtection="false" borderId="85" fillId="70"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85" fillId="71" fontId="3" numFmtId="0" xfId="0">
      <alignment horizontal="center" vertical="center" wrapText="true"/>
    </xf>
    <xf applyAlignment="true" applyBorder="false" applyFill="true" applyFont="true" applyNumberFormat="false" applyProtection="false" borderId="85" fillId="71" fontId="3" numFmtId="0" xfId="0">
      <alignment horizontal="center" vertical="center"/>
    </xf>
    <xf applyAlignment="true" applyBorder="false" applyFill="true" applyFont="true" applyNumberFormat="false" applyProtection="false" borderId="85" fillId="71"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85" fillId="72" fontId="3" numFmtId="0" xfId="0">
      <alignment horizontal="center" vertical="center" wrapText="true"/>
    </xf>
    <xf applyAlignment="true" applyBorder="false" applyFill="false" applyFont="true" applyNumberFormat="false" applyProtection="false" borderId="85" fillId="0" fontId="3" numFmtId="0" xfId="0">
      <alignment horizontal="center" vertical="center" wrapText="true"/>
    </xf>
    <xf applyAlignment="true" applyBorder="false" applyFill="true" applyFont="true" applyNumberFormat="false" applyProtection="false" borderId="85" fillId="72" fontId="3" numFmtId="0" xfId="0">
      <alignment vertical="center" wrapText="true"/>
    </xf>
    <xf applyAlignment="true" applyBorder="false" applyFill="true" applyFont="true" applyNumberFormat="false" applyProtection="false" borderId="85" fillId="72" fontId="3" numFmtId="0" xfId="0">
      <alignment horizontal="center" vertical="center"/>
    </xf>
    <xf applyAlignment="true" applyBorder="false" applyFill="true" applyFont="true" applyNumberFormat="false" applyProtection="false" borderId="85" fillId="72" fontId="4" numFmtId="0" xfId="0">
      <alignment horizontal="center" vertical="center"/>
    </xf>
    <xf applyAlignment="true" applyBorder="false" applyFill="true" applyFont="true" applyNumberFormat="false" applyProtection="false" borderId="85" fillId="72" fontId="3" numFmtId="0" xfId="0">
      <alignment horizontal="center" vertical="center"/>
    </xf>
    <xf applyAlignment="true" applyBorder="false" applyFill="true" applyFont="true" applyNumberFormat="false" applyProtection="false" borderId="85" fillId="73" fontId="3" numFmtId="0" xfId="0">
      <alignment horizontal="center" vertical="center" wrapText="true"/>
    </xf>
    <xf applyAlignment="true" applyBorder="false" applyFill="true" applyFont="true" applyNumberFormat="false" applyProtection="false" borderId="85" fillId="73" fontId="3" numFmtId="0" xfId="0">
      <alignment horizontal="left" vertical="center"/>
    </xf>
    <xf applyAlignment="true" applyBorder="false" applyFill="true" applyFont="true" applyNumberFormat="false" applyProtection="false" borderId="85" fillId="73" fontId="3" numFmtId="0" xfId="0">
      <alignment horizontal="center" vertical="center"/>
    </xf>
    <xf applyAlignment="true" applyBorder="false" applyFill="true" applyFont="true" applyNumberFormat="false" applyProtection="false" borderId="85" fillId="73" fontId="4" numFmtId="0" xfId="0">
      <alignment horizontal="center" vertical="center"/>
    </xf>
    <xf applyAlignment="true" applyBorder="false" applyFill="true" applyFont="true" applyNumberFormat="false" applyProtection="false" borderId="86" fillId="73" fontId="5" numFmtId="0" xfId="0">
      <alignment horizontal="center" vertical="center"/>
    </xf>
    <xf applyAlignment="true" applyBorder="false" applyFill="true" applyFont="true" applyNumberFormat="false" applyProtection="false" borderId="85" fillId="69" fontId="3" numFmtId="0" xfId="0">
      <alignment horizontal="center" vertical="center" wrapText="true"/>
    </xf>
    <xf applyAlignment="true" applyBorder="false" applyFill="true" applyFont="true" applyNumberFormat="false" applyProtection="false" borderId="85" fillId="69" fontId="3" numFmtId="0" xfId="0">
      <alignment horizontal="left" vertical="center"/>
    </xf>
    <xf applyAlignment="true" applyBorder="false" applyFill="true" applyFont="true" applyNumberFormat="false" applyProtection="false" borderId="85" fillId="69" fontId="4" numFmtId="0" xfId="0">
      <alignment horizontal="center" vertical="center"/>
    </xf>
    <xf applyAlignment="true" applyBorder="false" applyFill="true" applyFont="true" applyNumberFormat="false" applyProtection="false" borderId="86" fillId="69" fontId="5" numFmtId="0" xfId="0">
      <alignment horizontal="center" vertical="center"/>
    </xf>
    <xf applyAlignment="true" applyBorder="false" applyFill="true" applyFont="true" applyNumberFormat="false" applyProtection="false" borderId="85" fillId="74" fontId="3" numFmtId="0" xfId="0">
      <alignment horizontal="center" vertical="center" wrapText="true"/>
    </xf>
    <xf applyAlignment="true" applyBorder="false" applyFill="true" applyFont="true" applyNumberFormat="false" applyProtection="false" borderId="85" fillId="74" fontId="3" numFmtId="0" xfId="0">
      <alignment horizontal="left" vertical="center" wrapText="true"/>
    </xf>
    <xf applyAlignment="true" applyBorder="false" applyFill="true" applyFont="true" applyNumberFormat="false" applyProtection="false" borderId="85" fillId="74" fontId="3" numFmtId="0" xfId="0">
      <alignment horizontal="center" vertical="center"/>
    </xf>
    <xf applyAlignment="true" applyBorder="false" applyFill="true" applyFont="true" applyNumberFormat="false" applyProtection="false" borderId="85" fillId="74" fontId="4" numFmtId="0" xfId="0">
      <alignment horizontal="center" vertical="center"/>
    </xf>
    <xf applyAlignment="true" applyBorder="false" applyFill="true" applyFont="true" applyNumberFormat="false" applyProtection="false" borderId="85" fillId="74" fontId="3" numFmtId="0" xfId="0">
      <alignment horizontal="center" vertical="center"/>
    </xf>
    <xf applyAlignment="true" applyBorder="false" applyFill="true" applyFont="true" applyNumberFormat="false" applyProtection="false" borderId="85" fillId="75" fontId="3" numFmtId="0" xfId="0">
      <alignment horizontal="center" vertical="center" wrapText="true"/>
    </xf>
    <xf applyAlignment="true" applyBorder="false" applyFill="true" applyFont="true" applyNumberFormat="false" applyProtection="false" borderId="85" fillId="75" fontId="3" numFmtId="0" xfId="0">
      <alignment horizontal="left" vertical="center" wrapText="true"/>
    </xf>
    <xf applyAlignment="true" applyBorder="false" applyFill="true" applyFont="true" applyNumberFormat="false" applyProtection="false" borderId="85" fillId="75" fontId="3" numFmtId="0" xfId="0">
      <alignment horizontal="center" vertical="center"/>
    </xf>
    <xf applyAlignment="true" applyBorder="false" applyFill="true" applyFont="true" applyNumberFormat="false" applyProtection="false" borderId="85" fillId="75" fontId="4" numFmtId="0" xfId="0">
      <alignment horizontal="center" vertical="center"/>
    </xf>
    <xf applyAlignment="true" applyBorder="false" applyFill="true" applyFont="true" applyNumberFormat="false" applyProtection="false" borderId="85" fillId="75" fontId="3" numFmtId="0" xfId="0">
      <alignment horizontal="center" vertical="center"/>
    </xf>
    <xf applyAlignment="true" applyBorder="false" applyFill="false" applyFont="true" applyNumberFormat="false" applyProtection="false" borderId="85" fillId="0" fontId="4" numFmtId="0" xfId="0">
      <alignment horizontal="center" vertical="center" wrapText="true"/>
    </xf>
    <xf applyAlignment="true" applyBorder="false" applyFill="false" applyFont="true" applyNumberFormat="false" applyProtection="false" borderId="85" fillId="0" fontId="3" numFmtId="0" xfId="0">
      <alignment horizontal="center" vertical="center"/>
    </xf>
    <xf applyAlignment="true" applyBorder="false" applyFill="false" applyFont="true" applyNumberFormat="false" applyProtection="false" borderId="85" fillId="0" fontId="4" numFmtId="0" xfId="0">
      <alignment horizontal="center" vertical="center"/>
    </xf>
    <xf applyAlignment="true" applyBorder="false" applyFill="false" applyFont="true" applyNumberFormat="false" applyProtection="false" borderId="85" fillId="0" fontId="4" numFmtId="0" xfId="0">
      <alignment vertical="center"/>
    </xf>
    <xf applyAlignment="true" applyBorder="false" applyFill="true" applyFont="true" applyNumberFormat="false" applyProtection="false" borderId="85" fillId="76" fontId="3" numFmtId="0" xfId="0">
      <alignment horizontal="center" vertical="center" wrapText="true"/>
    </xf>
    <xf applyAlignment="true" applyBorder="false" applyFill="true" applyFont="true" applyNumberFormat="false" applyProtection="false" borderId="85" fillId="76" fontId="3" numFmtId="0" xfId="0">
      <alignment vertical="center" wrapText="true"/>
    </xf>
    <xf applyAlignment="true" applyBorder="false" applyFill="true" applyFont="true" applyNumberFormat="false" applyProtection="false" borderId="85" fillId="76" fontId="3" numFmtId="0" xfId="0">
      <alignment horizontal="center" vertical="center"/>
    </xf>
    <xf applyAlignment="true" applyBorder="false" applyFill="true" applyFont="true" applyNumberFormat="false" applyProtection="false" borderId="85" fillId="76" fontId="4" numFmtId="0" xfId="0">
      <alignment horizontal="center" vertical="center"/>
    </xf>
    <xf applyAlignment="true" applyBorder="false" applyFill="true" applyFont="true" applyNumberFormat="false" applyProtection="false" borderId="85" fillId="76" fontId="3" numFmtId="0" xfId="0">
      <alignment horizontal="center" vertical="center"/>
    </xf>
    <xf applyAlignment="true" applyBorder="false" applyFill="true" applyFont="true" applyNumberFormat="false" applyProtection="false" borderId="85" fillId="77" fontId="5" numFmtId="0" xfId="0">
      <alignment horizontal="center" vertical="center"/>
    </xf>
    <xf applyAlignment="true" applyBorder="false" applyFill="true" applyFont="true" applyNumberFormat="false" applyProtection="false" borderId="85" fillId="77" fontId="3" numFmtId="0" xfId="0">
      <alignment vertical="center" wrapText="true"/>
    </xf>
    <xf applyAlignment="true" applyBorder="false" applyFill="true" applyFont="true" applyNumberFormat="false" applyProtection="false" borderId="85" fillId="77" fontId="3" numFmtId="0" xfId="0">
      <alignment horizontal="center" vertical="center"/>
    </xf>
    <xf applyAlignment="true" applyBorder="false" applyFill="true" applyFont="true" applyNumberFormat="false" applyProtection="false" borderId="85" fillId="77" fontId="4" numFmtId="0" xfId="0">
      <alignment horizontal="center" vertical="center"/>
    </xf>
    <xf applyAlignment="true" applyBorder="false" applyFill="true" applyFont="true" applyNumberFormat="false" applyProtection="false" borderId="85" fillId="77" fontId="3" numFmtId="0" xfId="0">
      <alignment horizontal="center" vertical="center"/>
    </xf>
    <xf applyAlignment="true" applyBorder="false" applyFill="true" applyFont="true" applyNumberFormat="false" applyProtection="false" borderId="85" fillId="78" fontId="5" numFmtId="0" xfId="0">
      <alignment horizontal="center" vertical="center"/>
    </xf>
    <xf applyAlignment="true" applyBorder="false" applyFill="true" applyFont="true" applyNumberFormat="false" applyProtection="false" borderId="85" fillId="78" fontId="3" numFmtId="0" xfId="0">
      <alignment vertical="center" wrapText="true"/>
    </xf>
    <xf applyAlignment="true" applyBorder="false" applyFill="true" applyFont="true" applyNumberFormat="false" applyProtection="false" borderId="85" fillId="78" fontId="3" numFmtId="0" xfId="0">
      <alignment horizontal="center" vertical="center"/>
    </xf>
    <xf applyAlignment="true" applyBorder="false" applyFill="true" applyFont="true" applyNumberFormat="false" applyProtection="false" borderId="85" fillId="78" fontId="4" numFmtId="0" xfId="0">
      <alignment horizontal="center" vertical="center"/>
    </xf>
    <xf applyAlignment="true" applyBorder="false" applyFill="true" applyFont="true" applyNumberFormat="false" applyProtection="false" borderId="85" fillId="78" fontId="3" numFmtId="0" xfId="0">
      <alignment horizontal="center" vertical="center"/>
    </xf>
    <xf applyAlignment="true" applyBorder="false" applyFill="true" applyFont="true" applyNumberFormat="false" applyProtection="false" borderId="85" fillId="72" fontId="5" numFmtId="0" xfId="0">
      <alignment horizontal="center" vertical="center"/>
    </xf>
    <xf applyAlignment="true" applyBorder="false" applyFill="false" applyFont="true" applyNumberFormat="false" applyProtection="false" borderId="85" fillId="0" fontId="3" numFmtId="0" xfId="0">
      <alignment horizontal="center" vertical="center"/>
    </xf>
    <xf applyAlignment="true" applyBorder="false" applyFill="true" applyFont="true" applyNumberFormat="false" applyProtection="false" borderId="85" fillId="72" fontId="3" numFmtId="0" xfId="0">
      <alignment horizontal="left" vertical="center" wrapText="true"/>
    </xf>
    <xf applyAlignment="true" applyBorder="false" applyFill="true" applyFont="true" applyNumberFormat="false" applyProtection="false" borderId="85" fillId="73" fontId="3" numFmtId="0" xfId="0">
      <alignment horizontal="left" vertical="center" wrapText="true"/>
    </xf>
    <xf applyAlignment="true" applyBorder="false" applyFill="false" applyFont="true" applyNumberFormat="false" applyProtection="false" borderId="86" fillId="0" fontId="2" numFmtId="0" xfId="0">
      <alignment horizontal="center" vertical="center" wrapText="true"/>
    </xf>
    <xf applyAlignment="true" applyBorder="false" applyFill="false" applyFont="true" applyNumberFormat="false" applyProtection="false" borderId="86" fillId="0" fontId="5" numFmtId="0" xfId="0">
      <alignment horizontal="center" vertical="center"/>
    </xf>
    <xf applyAlignment="true" applyBorder="false" applyFill="false" applyFont="true" applyNumberFormat="false" applyProtection="false" borderId="86" fillId="0" fontId="2" numFmtId="0" xfId="0">
      <alignment horizontal="center" vertical="center"/>
    </xf>
    <xf applyAlignment="true" applyBorder="false" applyFill="false" applyFont="true" applyNumberFormat="false" applyProtection="false" borderId="86" fillId="0" fontId="2" numFmtId="0" xfId="0">
      <alignment vertical="center"/>
    </xf>
    <xf applyAlignment="true" applyBorder="false" applyFill="true" applyFont="true" applyNumberFormat="false" applyProtection="false" borderId="85" fillId="76" fontId="3" numFmtId="0" xfId="0">
      <alignment horizontal="left" vertical="center" wrapText="true"/>
    </xf>
    <xf applyAlignment="true" applyBorder="false" applyFill="true" applyFont="true" applyNumberFormat="false" applyProtection="false" borderId="85" fillId="76" fontId="4" numFmtId="0" xfId="0">
      <alignment vertical="center"/>
    </xf>
    <xf applyAlignment="true" applyBorder="false" applyFill="true" applyFont="true" applyNumberFormat="false" applyProtection="false" borderId="86" fillId="76" fontId="5" numFmtId="0" xfId="0">
      <alignment horizontal="center" vertical="center"/>
    </xf>
    <xf applyAlignment="true" applyBorder="false" applyFill="true" applyFont="true" applyNumberFormat="false" applyProtection="false" borderId="85" fillId="71" fontId="4" numFmtId="0" xfId="0">
      <alignment vertical="center"/>
    </xf>
    <xf applyAlignment="true" applyBorder="false" applyFill="true" applyFont="true" applyNumberFormat="false" applyProtection="false" borderId="85" fillId="72" fontId="4" numFmtId="0" xfId="0">
      <alignment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85" fillId="69" fontId="3" numFmtId="0" xfId="0">
      <alignment horizontal="left" vertical="center" wrapText="true"/>
    </xf>
    <xf applyAlignment="true" applyBorder="false" applyFill="true" applyFont="true" applyNumberFormat="false" applyProtection="false" borderId="85" fillId="69" fontId="4" numFmtId="0" xfId="0">
      <alignment vertical="center"/>
    </xf>
    <xf applyAlignment="true" applyBorder="false" applyFill="true" applyFont="true" applyNumberFormat="false" applyProtection="false" borderId="85" fillId="74" fontId="3" numFmtId="0" xfId="0">
      <alignment horizontal="left" vertical="center"/>
    </xf>
    <xf applyAlignment="true" applyBorder="false" applyFill="true" applyFont="true" applyNumberFormat="false" applyProtection="false" borderId="86" fillId="74" fontId="5" numFmtId="0" xfId="0">
      <alignment horizontal="center" vertical="center"/>
    </xf>
    <xf applyAlignment="true" applyBorder="false" applyFill="true" applyFont="true" applyNumberFormat="false" applyProtection="false" borderId="85" fillId="75" fontId="3" numFmtId="0" xfId="0">
      <alignment horizontal="left" vertical="center"/>
    </xf>
    <xf applyAlignment="true" applyBorder="false" applyFill="true" applyFont="true" applyNumberFormat="false" applyProtection="false" borderId="85" fillId="75" fontId="4" numFmtId="0" xfId="0">
      <alignment vertical="center"/>
    </xf>
    <xf applyAlignment="true" applyBorder="false" applyFill="true" applyFont="true" applyNumberFormat="false" applyProtection="false" borderId="86" fillId="75" fontId="5" numFmtId="0" xfId="0">
      <alignment horizontal="center" vertical="center"/>
    </xf>
    <xf applyAlignment="true" applyBorder="false" applyFill="true" applyFont="true" applyNumberFormat="false" applyProtection="false" borderId="85" fillId="77" fontId="3" numFmtId="0" xfId="0">
      <alignment horizontal="center" vertical="center" wrapText="true"/>
    </xf>
    <xf applyAlignment="true" applyBorder="false" applyFill="true" applyFont="true" applyNumberFormat="false" applyProtection="false" borderId="85" fillId="77" fontId="3" numFmtId="0" xfId="0">
      <alignment horizontal="left" vertical="center"/>
    </xf>
    <xf applyAlignment="true" applyBorder="false" applyFill="true" applyFont="true" applyNumberFormat="false" applyProtection="false" borderId="85" fillId="77" fontId="4" numFmtId="0" xfId="0">
      <alignment vertical="center"/>
    </xf>
    <xf applyAlignment="true" applyBorder="false" applyFill="true" applyFont="true" applyNumberFormat="false" applyProtection="false" borderId="86" fillId="77" fontId="5" numFmtId="0" xfId="0">
      <alignment horizontal="center" vertical="center"/>
    </xf>
    <xf applyAlignment="true" applyBorder="false" applyFill="true" applyFont="true" applyNumberFormat="false" applyProtection="false" borderId="85" fillId="76" fontId="3" numFmtId="0" xfId="0">
      <alignment horizontal="left" vertical="center"/>
    </xf>
    <xf applyAlignment="true" applyBorder="false" applyFill="true" applyFont="true" applyNumberFormat="false" applyProtection="false" borderId="85" fillId="73" fontId="4" numFmtId="0" xfId="0">
      <alignment vertical="center"/>
    </xf>
    <xf applyAlignment="true" applyBorder="false" applyFill="true" applyFont="true" applyNumberFormat="false" applyProtection="false" borderId="86" fillId="76" fontId="2" numFmtId="0" xfId="0">
      <alignment horizontal="center" vertical="center" wrapText="true"/>
    </xf>
    <xf applyAlignment="true" applyBorder="false" applyFill="true" applyFont="true" applyNumberFormat="false" applyProtection="false" borderId="86" fillId="76" fontId="2" numFmtId="0" xfId="0">
      <alignment horizontal="left" vertical="center" wrapText="true"/>
    </xf>
    <xf applyAlignment="true" applyBorder="false" applyFill="true" applyFont="true" applyNumberFormat="false" applyProtection="false" borderId="86" fillId="76" fontId="5" numFmtId="0" xfId="0">
      <alignment horizontal="center" vertical="center"/>
    </xf>
    <xf applyAlignment="true" applyBorder="false" applyFill="true" applyFont="true" applyNumberFormat="false" applyProtection="false" borderId="86" fillId="76" fontId="2" numFmtId="0" xfId="0">
      <alignment horizontal="center" vertical="center"/>
    </xf>
    <xf applyAlignment="true" applyBorder="false" applyFill="true" applyFont="true" applyNumberFormat="false" applyProtection="false" borderId="86" fillId="70" fontId="2" numFmtId="0" xfId="0">
      <alignment horizontal="center" vertical="center" wrapText="true"/>
    </xf>
    <xf applyAlignment="true" applyBorder="false" applyFill="true" applyFont="true" applyNumberFormat="false" applyProtection="false" borderId="86" fillId="70" fontId="2" numFmtId="0" xfId="0">
      <alignment horizontal="left" vertical="center" wrapText="true"/>
    </xf>
    <xf applyAlignment="true" applyBorder="false" applyFill="true" applyFont="true" applyNumberFormat="false" applyProtection="false" borderId="86" fillId="70" fontId="5" numFmtId="0" xfId="0">
      <alignment horizontal="center" vertical="center"/>
    </xf>
    <xf applyAlignment="true" applyBorder="false" applyFill="true" applyFont="true" applyNumberFormat="false" applyProtection="false" borderId="86" fillId="70" fontId="2" numFmtId="0" xfId="0">
      <alignment horizontal="center" vertical="center"/>
    </xf>
    <xf applyAlignment="true" applyBorder="false" applyFill="true" applyFont="true" applyNumberFormat="false" applyProtection="false" borderId="86" fillId="70" fontId="5" numFmtId="0" xfId="0">
      <alignment horizontal="center" vertical="center"/>
    </xf>
    <xf applyAlignment="true" applyBorder="false" applyFill="true" applyFont="true" applyNumberFormat="false" applyProtection="false" borderId="86" fillId="78" fontId="2" numFmtId="0" xfId="0">
      <alignment horizontal="center" vertical="center" wrapText="true"/>
    </xf>
    <xf applyAlignment="true" applyBorder="false" applyFill="true" applyFont="true" applyNumberFormat="false" applyProtection="false" borderId="86" fillId="78" fontId="2" numFmtId="0" xfId="0">
      <alignment horizontal="left" vertical="center" wrapText="true"/>
    </xf>
    <xf applyAlignment="true" applyBorder="false" applyFill="true" applyFont="true" applyNumberFormat="false" applyProtection="false" borderId="86" fillId="78" fontId="5" numFmtId="0" xfId="0">
      <alignment horizontal="center" vertical="center"/>
    </xf>
    <xf applyAlignment="true" applyBorder="false" applyFill="true" applyFont="true" applyNumberFormat="false" applyProtection="false" borderId="86" fillId="78" fontId="2" numFmtId="0" xfId="0">
      <alignment horizontal="center" vertical="center"/>
    </xf>
    <xf applyAlignment="true" applyBorder="false" applyFill="true" applyFont="true" applyNumberFormat="false" applyProtection="false" borderId="86" fillId="78" fontId="2" numFmtId="0" xfId="0">
      <alignment vertical="center"/>
    </xf>
    <xf applyAlignment="true" applyBorder="false" applyFill="true" applyFont="true" applyNumberFormat="false" applyProtection="false" borderId="86" fillId="78" fontId="5" numFmtId="0" xfId="0">
      <alignment horizontal="center" vertical="center"/>
    </xf>
    <xf applyAlignment="true" applyBorder="false" applyFill="false" applyFont="true" applyNumberFormat="false" applyProtection="false" borderId="86" fillId="0" fontId="5" numFmtId="0" xfId="0">
      <alignment horizontal="center" vertical="center"/>
    </xf>
    <xf applyAlignment="true" applyBorder="false" applyFill="true" applyFont="true" applyNumberFormat="false" applyProtection="false" borderId="86" fillId="69" fontId="2" numFmtId="0" xfId="0">
      <alignment horizontal="center" vertical="center" wrapText="true"/>
    </xf>
    <xf applyAlignment="true" applyBorder="false" applyFill="true" applyFont="true" applyNumberFormat="false" applyProtection="false" borderId="86" fillId="69" fontId="5" numFmtId="0" xfId="0">
      <alignment horizontal="center" vertical="center"/>
    </xf>
    <xf applyAlignment="true" applyBorder="false" applyFill="true" applyFont="true" applyNumberFormat="false" applyProtection="false" borderId="86" fillId="69" fontId="2" numFmtId="0" xfId="0">
      <alignment horizontal="center" vertical="center"/>
    </xf>
    <xf applyAlignment="true" applyBorder="false" applyFill="true" applyFont="true" applyNumberFormat="false" applyProtection="false" borderId="86" fillId="74" fontId="2" numFmtId="0" xfId="0">
      <alignment horizontal="center" vertical="center" wrapText="true"/>
    </xf>
    <xf applyAlignment="true" applyBorder="false" applyFill="true" applyFont="true" applyNumberFormat="false" applyProtection="false" borderId="86" fillId="74" fontId="5" numFmtId="0" xfId="0">
      <alignment horizontal="center" vertical="center"/>
    </xf>
    <xf applyAlignment="true" applyBorder="false" applyFill="true" applyFont="true" applyNumberFormat="false" applyProtection="false" borderId="86" fillId="74" fontId="2" numFmtId="0" xfId="0">
      <alignment horizontal="center" vertical="center"/>
    </xf>
    <xf applyAlignment="true" applyBorder="false" applyFill="true" applyFont="true" applyNumberFormat="false" applyProtection="false" borderId="86" fillId="75" fontId="2" numFmtId="0" xfId="0">
      <alignment horizontal="center" vertical="center" wrapText="true"/>
    </xf>
    <xf applyAlignment="true" applyBorder="false" applyFill="true" applyFont="true" applyNumberFormat="false" applyProtection="false" borderId="86" fillId="75" fontId="5" numFmtId="0" xfId="0">
      <alignment horizontal="center" vertical="center"/>
    </xf>
    <xf applyAlignment="true" applyBorder="false" applyFill="true" applyFont="true" applyNumberFormat="false" applyProtection="false" borderId="86" fillId="75" fontId="2" numFmtId="0" xfId="0">
      <alignment horizontal="center" vertical="center"/>
    </xf>
    <xf applyAlignment="true" applyBorder="false" applyFill="true" applyFont="true" applyNumberFormat="false" applyProtection="false" borderId="86" fillId="77" fontId="2" numFmtId="0" xfId="0">
      <alignment horizontal="center" vertical="center" wrapText="true"/>
    </xf>
    <xf applyAlignment="true" applyBorder="false" applyFill="true" applyFont="true" applyNumberFormat="false" applyProtection="false" borderId="86" fillId="77" fontId="5" numFmtId="0" xfId="0">
      <alignment horizontal="center" vertical="center"/>
    </xf>
    <xf applyAlignment="true" applyBorder="false" applyFill="true" applyFont="true" applyNumberFormat="false" applyProtection="false" borderId="86" fillId="77" fontId="2" numFmtId="0" xfId="0">
      <alignment horizontal="center" vertical="center"/>
    </xf>
    <xf applyAlignment="true" applyBorder="false" applyFill="true" applyFont="true" applyNumberFormat="false" applyProtection="false" borderId="86" fillId="76" fontId="2" numFmtId="0" xfId="0">
      <alignment vertical="center"/>
    </xf>
    <xf applyAlignment="true" applyBorder="false" applyFill="true" applyFont="true" applyNumberFormat="false" applyProtection="false" borderId="86" fillId="79" fontId="2" numFmtId="0" xfId="0">
      <alignment horizontal="center" vertical="center" wrapText="true"/>
    </xf>
    <xf applyAlignment="true" applyBorder="false" applyFill="true" applyFont="true" applyNumberFormat="false" applyProtection="false" borderId="86" fillId="79" fontId="5" numFmtId="0" xfId="0">
      <alignment horizontal="center" vertical="center"/>
    </xf>
    <xf applyAlignment="true" applyBorder="false" applyFill="true" applyFont="true" applyNumberFormat="false" applyProtection="false" borderId="86" fillId="79" fontId="2" numFmtId="0" xfId="0">
      <alignment horizontal="center" vertical="center"/>
    </xf>
    <xf applyAlignment="true" applyBorder="false" applyFill="true" applyFont="true" applyNumberFormat="false" applyProtection="false" borderId="86" fillId="79" fontId="2" numFmtId="0" xfId="0">
      <alignment vertical="center"/>
    </xf>
    <xf applyAlignment="true" applyBorder="false" applyFill="true" applyFont="true" applyNumberFormat="false" applyProtection="false" borderId="86" fillId="79" fontId="5" numFmtId="0" xfId="0">
      <alignment horizontal="center" vertical="center"/>
    </xf>
    <xf applyAlignment="true" applyBorder="false" applyFill="true" applyFont="true" applyNumberFormat="false" applyProtection="false" borderId="86" fillId="72" fontId="2" numFmtId="0" xfId="0">
      <alignment horizontal="center" vertical="center" wrapText="true"/>
    </xf>
    <xf applyAlignment="true" applyBorder="false" applyFill="true" applyFont="true" applyNumberFormat="false" applyProtection="false" borderId="86" fillId="72" fontId="5" numFmtId="0" xfId="0">
      <alignment horizontal="center" vertical="center"/>
    </xf>
    <xf applyAlignment="true" applyBorder="false" applyFill="true" applyFont="true" applyNumberFormat="false" applyProtection="false" borderId="86" fillId="72" fontId="2" numFmtId="0" xfId="0">
      <alignment horizontal="center" vertical="center"/>
    </xf>
    <xf applyAlignment="true" applyBorder="false" applyFill="true" applyFont="true" applyNumberFormat="false" applyProtection="false" borderId="86" fillId="72" fontId="2" numFmtId="0" xfId="0">
      <alignment vertical="center"/>
    </xf>
    <xf applyAlignment="true" applyBorder="false" applyFill="true" applyFont="true" applyNumberFormat="false" applyProtection="false" borderId="86" fillId="72" fontId="5" numFmtId="0" xfId="0">
      <alignment horizontal="center" vertical="center"/>
    </xf>
    <xf applyAlignment="true" applyBorder="false" applyFill="true" applyFont="true" applyNumberFormat="false" applyProtection="false" borderId="85" fillId="71" fontId="3" numFmtId="0" xfId="0">
      <alignment horizontal="center" vertical="center"/>
    </xf>
    <xf applyAlignment="true" applyBorder="false" applyFill="true" applyFont="true" applyNumberFormat="false" applyProtection="false" borderId="85" fillId="71" fontId="4" numFmtId="0" xfId="0">
      <alignment vertical="center"/>
    </xf>
    <xf applyAlignment="true" applyBorder="false" applyFill="false" applyFont="true" applyNumberFormat="false" applyProtection="false" borderId="85" fillId="0" fontId="4" numFmtId="0" xfId="0">
      <alignment vertical="center"/>
    </xf>
    <xf applyAlignment="true" applyBorder="false" applyFill="false" applyFont="true" applyNumberFormat="false" applyProtection="false" borderId="87" fillId="0" fontId="4" numFmtId="0" xfId="0">
      <alignment vertical="center"/>
    </xf>
    <xf applyAlignment="true" applyBorder="false" applyFill="false" applyFont="true" applyNumberFormat="false" applyProtection="false" borderId="87" fillId="0" fontId="4" numFmtId="0" xfId="0">
      <alignment vertical="center"/>
    </xf>
    <xf applyAlignment="true" applyBorder="false" applyFill="false" applyFont="true" applyNumberFormat="false" applyProtection="false" borderId="88" fillId="0" fontId="4" numFmtId="0" xfId="0">
      <alignment vertical="center"/>
    </xf>
    <xf applyAlignment="true" applyBorder="false" applyFill="false" applyFont="true" applyNumberFormat="false" applyProtection="false" borderId="82" fillId="0" fontId="2" numFmtId="0" xfId="0">
      <alignment vertical="center"/>
    </xf>
    <xf applyAlignment="true" applyBorder="false" applyFill="false" applyFont="true" applyNumberFormat="false" applyProtection="false" borderId="89" fillId="0" fontId="2" numFmtId="0" xfId="0">
      <alignment vertical="center"/>
    </xf>
    <xf applyAlignment="true" applyBorder="false" applyFill="false" applyFont="true" applyNumberFormat="false" applyProtection="false" borderId="85" fillId="0" fontId="2" numFmtId="0" xfId="0">
      <alignment vertical="center"/>
    </xf>
    <xf applyAlignment="true" applyBorder="false" applyFill="false" applyFont="true" applyNumberFormat="false" applyProtection="false" borderId="90" fillId="0" fontId="4" numFmtId="0" xfId="0">
      <alignment vertical="center"/>
    </xf>
    <xf applyAlignment="true" applyBorder="false" applyFill="false" applyFont="true" applyNumberFormat="false" applyProtection="false" borderId="91" fillId="0" fontId="1" numFmtId="0" xfId="0">
      <alignment horizontal="center" vertical="center" wrapText="true"/>
    </xf>
    <xf applyAlignment="true" applyBorder="false" applyFill="false" applyFont="true" applyNumberFormat="false" applyProtection="false" borderId="91" fillId="0" fontId="1" numFmtId="0" xfId="0">
      <alignment horizontal="center" vertical="center" wrapText="true"/>
    </xf>
    <xf applyAlignment="true" applyBorder="false" applyFill="false" applyFont="true" applyNumberFormat="true" applyProtection="false" borderId="91" fillId="0" fontId="1" numFmtId="174" xfId="0">
      <alignment horizontal="center" vertical="center" wrapText="true"/>
    </xf>
    <xf applyAlignment="true" applyBorder="false" applyFill="false" applyFont="true" applyNumberFormat="false" applyProtection="false" borderId="92"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93" fillId="0" fontId="6" numFmtId="0" xfId="0">
      <alignment horizontal="left" vertical="center" wrapText="true"/>
    </xf>
    <xf applyAlignment="true" applyBorder="false" applyFill="true" applyFont="true" applyNumberFormat="false" applyProtection="false" borderId="94" fillId="80" fontId="3" numFmtId="0" xfId="0">
      <alignment horizontal="center" vertical="center"/>
    </xf>
    <xf applyAlignment="true" applyBorder="false" applyFill="false" applyFont="true" applyNumberFormat="false" applyProtection="false" borderId="94" fillId="0" fontId="3" numFmtId="0" xfId="0">
      <alignment horizontal="center" vertical="center"/>
    </xf>
    <xf applyAlignment="true" applyBorder="false" applyFill="true" applyFont="true" applyNumberFormat="false" applyProtection="false" borderId="94" fillId="81" fontId="3" numFmtId="0" xfId="0">
      <alignment horizontal="center" vertical="center" wrapText="true"/>
    </xf>
    <xf applyAlignment="true" applyBorder="false" applyFill="true" applyFont="true" applyNumberFormat="false" applyProtection="false" borderId="94" fillId="81" fontId="3" numFmtId="0" xfId="0">
      <alignment vertical="center" wrapText="true"/>
    </xf>
    <xf applyAlignment="true" applyBorder="false" applyFill="true" applyFont="true" applyNumberFormat="false" applyProtection="false" borderId="94" fillId="81" fontId="3" numFmtId="0" xfId="0">
      <alignment horizontal="center" vertical="center"/>
    </xf>
    <xf applyAlignment="true" applyBorder="false" applyFill="true" applyFont="true" applyNumberFormat="false" applyProtection="false" borderId="94" fillId="81" fontId="4" numFmtId="0" xfId="0">
      <alignment horizontal="center" vertical="center"/>
    </xf>
    <xf applyAlignment="true" applyBorder="false" applyFill="true" applyFont="true" applyNumberFormat="false" applyProtection="false" borderId="94" fillId="81"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94" fillId="82" fontId="3" numFmtId="0" xfId="0">
      <alignment horizontal="center" vertical="center" wrapText="true"/>
    </xf>
    <xf applyAlignment="true" applyBorder="false" applyFill="true" applyFont="true" applyNumberFormat="false" applyProtection="false" borderId="94" fillId="82" fontId="3" numFmtId="0" xfId="0">
      <alignment horizontal="center" vertical="center"/>
    </xf>
    <xf applyAlignment="true" applyBorder="false" applyFill="true" applyFont="true" applyNumberFormat="false" applyProtection="false" borderId="94" fillId="82"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94" fillId="83" fontId="3" numFmtId="0" xfId="0">
      <alignment horizontal="center" vertical="center" wrapText="true"/>
    </xf>
    <xf applyAlignment="true" applyBorder="false" applyFill="false" applyFont="true" applyNumberFormat="false" applyProtection="false" borderId="94" fillId="0" fontId="3" numFmtId="0" xfId="0">
      <alignment horizontal="center" vertical="center" wrapText="true"/>
    </xf>
    <xf applyAlignment="true" applyBorder="false" applyFill="true" applyFont="true" applyNumberFormat="false" applyProtection="false" borderId="94" fillId="83" fontId="3" numFmtId="0" xfId="0">
      <alignment vertical="center" wrapText="true"/>
    </xf>
    <xf applyAlignment="true" applyBorder="false" applyFill="true" applyFont="true" applyNumberFormat="false" applyProtection="false" borderId="94" fillId="83" fontId="3" numFmtId="0" xfId="0">
      <alignment horizontal="center" vertical="center"/>
    </xf>
    <xf applyAlignment="true" applyBorder="false" applyFill="true" applyFont="true" applyNumberFormat="false" applyProtection="false" borderId="94" fillId="83" fontId="4" numFmtId="0" xfId="0">
      <alignment horizontal="center" vertical="center"/>
    </xf>
    <xf applyAlignment="true" applyBorder="false" applyFill="true" applyFont="true" applyNumberFormat="false" applyProtection="false" borderId="94" fillId="83" fontId="3" numFmtId="0" xfId="0">
      <alignment horizontal="center" vertical="center"/>
    </xf>
    <xf applyAlignment="true" applyBorder="false" applyFill="true" applyFont="true" applyNumberFormat="false" applyProtection="false" borderId="94" fillId="84" fontId="3" numFmtId="0" xfId="0">
      <alignment horizontal="center" vertical="center" wrapText="true"/>
    </xf>
    <xf applyAlignment="true" applyBorder="false" applyFill="true" applyFont="true" applyNumberFormat="false" applyProtection="false" borderId="94" fillId="84" fontId="3" numFmtId="0" xfId="0">
      <alignment horizontal="left" vertical="center" wrapText="true"/>
    </xf>
    <xf applyAlignment="true" applyBorder="false" applyFill="true" applyFont="true" applyNumberFormat="false" applyProtection="false" borderId="94" fillId="84" fontId="3" numFmtId="0" xfId="0">
      <alignment horizontal="center" vertical="center"/>
    </xf>
    <xf applyAlignment="true" applyBorder="false" applyFill="true" applyFont="true" applyNumberFormat="false" applyProtection="false" borderId="94" fillId="84" fontId="4" numFmtId="0" xfId="0">
      <alignment horizontal="center" vertical="center"/>
    </xf>
    <xf applyAlignment="true" applyBorder="false" applyFill="true" applyFont="true" applyNumberFormat="false" applyProtection="false" borderId="94" fillId="84" fontId="3" numFmtId="0" xfId="0">
      <alignment horizontal="center" vertical="center"/>
    </xf>
    <xf applyAlignment="true" applyBorder="false" applyFill="true" applyFont="true" applyNumberFormat="false" applyProtection="false" borderId="94" fillId="80" fontId="3" numFmtId="0" xfId="0">
      <alignment horizontal="center" vertical="center" wrapText="true"/>
    </xf>
    <xf applyAlignment="true" applyBorder="false" applyFill="true" applyFont="true" applyNumberFormat="false" applyProtection="false" borderId="94" fillId="80" fontId="4" numFmtId="0" xfId="0">
      <alignment horizontal="center" vertical="center"/>
    </xf>
    <xf applyAlignment="true" applyBorder="false" applyFill="true" applyFont="true" applyNumberFormat="false" applyProtection="false" borderId="94" fillId="80" fontId="3" numFmtId="0" xfId="0">
      <alignment horizontal="center" vertical="center"/>
    </xf>
    <xf applyAlignment="true" applyBorder="false" applyFill="false" applyFont="true" applyNumberFormat="false" applyProtection="false" borderId="94" fillId="0" fontId="4" numFmtId="0" xfId="0">
      <alignment horizontal="center" vertical="center" wrapText="true"/>
    </xf>
    <xf applyAlignment="true" applyBorder="false" applyFill="false" applyFont="true" applyNumberFormat="false" applyProtection="false" borderId="94" fillId="0" fontId="3" numFmtId="0" xfId="0">
      <alignment horizontal="center" vertical="center"/>
    </xf>
    <xf applyAlignment="true" applyBorder="false" applyFill="false" applyFont="true" applyNumberFormat="false" applyProtection="false" borderId="94" fillId="0" fontId="4" numFmtId="0" xfId="0">
      <alignment horizontal="center" vertical="center"/>
    </xf>
    <xf applyAlignment="true" applyBorder="false" applyFill="false" applyFont="true" applyNumberFormat="false" applyProtection="false" borderId="94" fillId="0" fontId="4" numFmtId="0" xfId="0">
      <alignment vertical="center"/>
    </xf>
    <xf applyAlignment="true" applyBorder="false" applyFill="true" applyFont="true" applyNumberFormat="false" applyProtection="false" borderId="94" fillId="85" fontId="3" numFmtId="0" xfId="0">
      <alignment horizontal="center" vertical="center" wrapText="true"/>
    </xf>
    <xf applyAlignment="true" applyBorder="false" applyFill="true" applyFont="true" applyNumberFormat="false" applyProtection="false" borderId="94" fillId="85" fontId="3" numFmtId="0" xfId="0">
      <alignment vertical="center" wrapText="true"/>
    </xf>
    <xf applyAlignment="true" applyBorder="false" applyFill="true" applyFont="true" applyNumberFormat="false" applyProtection="false" borderId="94" fillId="85" fontId="3" numFmtId="0" xfId="0">
      <alignment horizontal="center" vertical="center"/>
    </xf>
    <xf applyAlignment="true" applyBorder="false" applyFill="true" applyFont="true" applyNumberFormat="false" applyProtection="false" borderId="94" fillId="85" fontId="4" numFmtId="0" xfId="0">
      <alignment horizontal="center" vertical="center"/>
    </xf>
    <xf applyAlignment="true" applyBorder="false" applyFill="true" applyFont="true" applyNumberFormat="false" applyProtection="false" borderId="94" fillId="85" fontId="3" numFmtId="0" xfId="0">
      <alignment horizontal="center" vertical="center"/>
    </xf>
    <xf applyAlignment="true" applyBorder="false" applyFill="true" applyFont="true" applyNumberFormat="false" applyProtection="false" borderId="94" fillId="86" fontId="5" numFmtId="0" xfId="0">
      <alignment horizontal="center" vertical="center"/>
    </xf>
    <xf applyAlignment="true" applyBorder="false" applyFill="true" applyFont="true" applyNumberFormat="false" applyProtection="false" borderId="94" fillId="86" fontId="3" numFmtId="0" xfId="0">
      <alignment vertical="center" wrapText="true"/>
    </xf>
    <xf applyAlignment="true" applyBorder="false" applyFill="true" applyFont="true" applyNumberFormat="false" applyProtection="false" borderId="94" fillId="86" fontId="3" numFmtId="0" xfId="0">
      <alignment horizontal="center" vertical="center"/>
    </xf>
    <xf applyAlignment="true" applyBorder="false" applyFill="true" applyFont="true" applyNumberFormat="false" applyProtection="false" borderId="94" fillId="86" fontId="4" numFmtId="0" xfId="0">
      <alignment horizontal="center" vertical="center"/>
    </xf>
    <xf applyAlignment="true" applyBorder="false" applyFill="true" applyFont="true" applyNumberFormat="false" applyProtection="false" borderId="94" fillId="86" fontId="3" numFmtId="0" xfId="0">
      <alignment horizontal="center" vertical="center"/>
    </xf>
    <xf applyAlignment="true" applyBorder="false" applyFill="true" applyFont="true" applyNumberFormat="false" applyProtection="false" borderId="94" fillId="87" fontId="5" numFmtId="0" xfId="0">
      <alignment horizontal="center" vertical="center"/>
    </xf>
    <xf applyAlignment="true" applyBorder="false" applyFill="true" applyFont="true" applyNumberFormat="false" applyProtection="false" borderId="94" fillId="87" fontId="3" numFmtId="0" xfId="0">
      <alignment vertical="center" wrapText="true"/>
    </xf>
    <xf applyAlignment="true" applyBorder="false" applyFill="true" applyFont="true" applyNumberFormat="false" applyProtection="false" borderId="94" fillId="87" fontId="3" numFmtId="0" xfId="0">
      <alignment horizontal="center" vertical="center"/>
    </xf>
    <xf applyAlignment="true" applyBorder="false" applyFill="true" applyFont="true" applyNumberFormat="false" applyProtection="false" borderId="94" fillId="87" fontId="4" numFmtId="0" xfId="0">
      <alignment horizontal="center" vertical="center"/>
    </xf>
    <xf applyAlignment="true" applyBorder="false" applyFill="true" applyFont="true" applyNumberFormat="false" applyProtection="false" borderId="94" fillId="87" fontId="3" numFmtId="0" xfId="0">
      <alignment horizontal="center" vertical="center"/>
    </xf>
    <xf applyAlignment="true" applyBorder="false" applyFill="true" applyFont="true" applyNumberFormat="false" applyProtection="false" borderId="94" fillId="88" fontId="3" numFmtId="0" xfId="0">
      <alignment horizontal="center" vertical="center" wrapText="true"/>
    </xf>
    <xf applyAlignment="true" applyBorder="false" applyFill="true" applyFont="true" applyNumberFormat="false" applyProtection="false" borderId="94" fillId="88" fontId="3" numFmtId="0" xfId="0">
      <alignment horizontal="left" vertical="center" wrapText="true"/>
    </xf>
    <xf applyAlignment="true" applyBorder="false" applyFill="true" applyFont="true" applyNumberFormat="false" applyProtection="false" borderId="94" fillId="88" fontId="3" numFmtId="0" xfId="0">
      <alignment horizontal="center" vertical="center"/>
    </xf>
    <xf applyAlignment="true" applyBorder="false" applyFill="true" applyFont="true" applyNumberFormat="false" applyProtection="false" borderId="94" fillId="88" fontId="4" numFmtId="0" xfId="0">
      <alignment horizontal="center" vertical="center"/>
    </xf>
    <xf applyAlignment="true" applyBorder="false" applyFill="true" applyFont="true" applyNumberFormat="false" applyProtection="false" borderId="95" fillId="88" fontId="5" numFmtId="0" xfId="0">
      <alignment horizontal="center" vertical="center"/>
    </xf>
    <xf applyAlignment="true" applyBorder="false" applyFill="true" applyFont="true" applyNumberFormat="false" applyProtection="false" borderId="94" fillId="88" fontId="3" numFmtId="0" xfId="0">
      <alignment horizontal="left" vertical="center"/>
    </xf>
    <xf applyAlignment="true" applyBorder="false" applyFill="false" applyFont="true" applyNumberFormat="false" applyProtection="false" borderId="95" fillId="0" fontId="2" numFmtId="0" xfId="0">
      <alignment horizontal="center" vertical="center" wrapText="true"/>
    </xf>
    <xf applyAlignment="true" applyBorder="false" applyFill="false" applyFont="true" applyNumberFormat="false" applyProtection="false" borderId="95" fillId="0" fontId="5" numFmtId="0" xfId="0">
      <alignment horizontal="center" vertical="center"/>
    </xf>
    <xf applyAlignment="true" applyBorder="false" applyFill="false" applyFont="true" applyNumberFormat="false" applyProtection="false" borderId="95" fillId="0" fontId="2" numFmtId="0" xfId="0">
      <alignment horizontal="center" vertical="center"/>
    </xf>
    <xf applyAlignment="true" applyBorder="false" applyFill="false" applyFont="true" applyNumberFormat="false" applyProtection="false" borderId="95" fillId="0" fontId="2" numFmtId="0" xfId="0">
      <alignment vertical="center"/>
    </xf>
    <xf applyAlignment="true" applyBorder="false" applyFill="true" applyFont="true" applyNumberFormat="false" applyProtection="false" borderId="94" fillId="82" fontId="4" numFmtId="0" xfId="0">
      <alignment vertical="center"/>
    </xf>
    <xf applyAlignment="true" applyBorder="false" applyFill="true" applyFont="true" applyNumberFormat="false" applyProtection="false" borderId="94" fillId="83" fontId="3" numFmtId="0" xfId="0">
      <alignment horizontal="left"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94" fillId="89" fontId="3" numFmtId="0" xfId="0">
      <alignment horizontal="center" vertical="center" wrapText="true"/>
    </xf>
    <xf applyAlignment="true" applyBorder="false" applyFill="true" applyFont="true" applyNumberFormat="false" applyProtection="false" borderId="94" fillId="89" fontId="3" numFmtId="0" xfId="0">
      <alignment horizontal="left" vertical="center" wrapText="true"/>
    </xf>
    <xf applyAlignment="true" applyBorder="false" applyFill="true" applyFont="true" applyNumberFormat="false" applyProtection="false" borderId="94" fillId="89" fontId="3" numFmtId="0" xfId="0">
      <alignment horizontal="center" vertical="center"/>
    </xf>
    <xf applyAlignment="true" applyBorder="false" applyFill="true" applyFont="true" applyNumberFormat="false" applyProtection="false" borderId="94" fillId="89" fontId="4" numFmtId="0" xfId="0">
      <alignment horizontal="center" vertical="center"/>
    </xf>
    <xf applyAlignment="true" applyBorder="false" applyFill="true" applyFont="true" applyNumberFormat="false" applyProtection="false" borderId="95" fillId="89" fontId="5" numFmtId="0" xfId="0">
      <alignment horizontal="center" vertical="center"/>
    </xf>
    <xf applyAlignment="true" applyBorder="false" applyFill="true" applyFont="true" applyNumberFormat="false" applyProtection="false" borderId="94" fillId="86" fontId="3" numFmtId="0" xfId="0">
      <alignment horizontal="center" vertical="center" wrapText="true"/>
    </xf>
    <xf applyAlignment="true" applyBorder="false" applyFill="true" applyFont="true" applyNumberFormat="false" applyProtection="false" borderId="94" fillId="86" fontId="3" numFmtId="0" xfId="0">
      <alignment horizontal="left" vertical="center" wrapText="true"/>
    </xf>
    <xf applyAlignment="true" applyBorder="false" applyFill="true" applyFont="true" applyNumberFormat="false" applyProtection="false" borderId="95" fillId="86"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94" fillId="86" fontId="3" numFmtId="0" xfId="0">
      <alignment horizontal="left" vertical="center"/>
    </xf>
    <xf applyAlignment="true" applyBorder="false" applyFill="true" applyFont="true" applyNumberFormat="false" applyProtection="false" borderId="95" fillId="89" fontId="5" numFmtId="0" xfId="0">
      <alignment horizontal="center" vertical="center" wrapText="true"/>
    </xf>
    <xf applyAlignment="true" applyBorder="false" applyFill="true" applyFont="true" applyNumberFormat="false" applyProtection="false" borderId="95" fillId="89" fontId="5" numFmtId="0" xfId="0">
      <alignment horizontal="left" vertical="center" wrapText="true"/>
    </xf>
    <xf applyAlignment="true" applyBorder="false" applyFill="true" applyFont="true" applyNumberFormat="false" applyProtection="false" borderId="95" fillId="89" fontId="5" numFmtId="0" xfId="0">
      <alignment horizontal="center" vertical="center"/>
    </xf>
    <xf applyAlignment="true" applyBorder="false" applyFill="true" applyFont="true" applyNumberFormat="false" applyProtection="false" borderId="95" fillId="89" fontId="2" numFmtId="0" xfId="0">
      <alignment horizontal="center" vertical="center"/>
    </xf>
    <xf applyAlignment="true" applyBorder="false" applyFill="true" applyFont="true" applyNumberFormat="false" applyProtection="false" borderId="95" fillId="84" fontId="5" numFmtId="0" xfId="0">
      <alignment horizontal="center" vertical="center" wrapText="true"/>
    </xf>
    <xf applyAlignment="true" applyBorder="false" applyFill="true" applyFont="true" applyNumberFormat="false" applyProtection="false" borderId="95" fillId="84" fontId="5" numFmtId="0" xfId="0">
      <alignment horizontal="left" vertical="center" wrapText="true"/>
    </xf>
    <xf applyAlignment="true" applyBorder="false" applyFill="true" applyFont="true" applyNumberFormat="false" applyProtection="false" borderId="95" fillId="84" fontId="5" numFmtId="0" xfId="0">
      <alignment horizontal="center" vertical="center"/>
    </xf>
    <xf applyAlignment="true" applyBorder="false" applyFill="true" applyFont="true" applyNumberFormat="false" applyProtection="false" borderId="95" fillId="84" fontId="2" numFmtId="0" xfId="0">
      <alignment horizontal="center" vertical="center"/>
    </xf>
    <xf applyAlignment="true" applyBorder="false" applyFill="true" applyFont="true" applyNumberFormat="false" applyProtection="false" borderId="95" fillId="84" fontId="2" numFmtId="0" xfId="0">
      <alignment vertical="center"/>
    </xf>
    <xf applyAlignment="true" applyBorder="false" applyFill="true" applyFont="true" applyNumberFormat="false" applyProtection="false" borderId="95" fillId="84" fontId="5" numFmtId="0" xfId="0">
      <alignment horizontal="center" vertical="center"/>
    </xf>
    <xf applyAlignment="true" applyBorder="false" applyFill="true" applyFont="true" applyNumberFormat="false" applyProtection="false" borderId="95" fillId="86" fontId="5" numFmtId="0" xfId="0">
      <alignment horizontal="center" vertical="center" wrapText="true"/>
    </xf>
    <xf applyAlignment="true" applyBorder="false" applyFill="true" applyFont="true" applyNumberFormat="false" applyProtection="false" borderId="95" fillId="86" fontId="5" numFmtId="0" xfId="0">
      <alignment horizontal="left" vertical="center" wrapText="true"/>
    </xf>
    <xf applyAlignment="true" applyBorder="false" applyFill="true" applyFont="true" applyNumberFormat="false" applyProtection="false" borderId="95" fillId="86" fontId="5" numFmtId="0" xfId="0">
      <alignment horizontal="center" vertical="center"/>
    </xf>
    <xf applyAlignment="true" applyBorder="false" applyFill="true" applyFont="true" applyNumberFormat="false" applyProtection="false" borderId="95" fillId="86" fontId="2" numFmtId="0" xfId="0">
      <alignment horizontal="center" vertical="center"/>
    </xf>
    <xf applyAlignment="true" applyBorder="false" applyFill="true" applyFont="true" applyNumberFormat="false" applyProtection="false" borderId="95" fillId="81" fontId="5" numFmtId="0" xfId="0">
      <alignment horizontal="center" vertical="center" wrapText="true"/>
    </xf>
    <xf applyAlignment="true" applyBorder="false" applyFill="true" applyFont="true" applyNumberFormat="false" applyProtection="false" borderId="95" fillId="81" fontId="5" numFmtId="0" xfId="0">
      <alignment horizontal="left" vertical="center" wrapText="true"/>
    </xf>
    <xf applyAlignment="true" applyBorder="false" applyFill="true" applyFont="true" applyNumberFormat="false" applyProtection="false" borderId="95" fillId="81" fontId="5" numFmtId="0" xfId="0">
      <alignment horizontal="center" vertical="center"/>
    </xf>
    <xf applyAlignment="true" applyBorder="false" applyFill="true" applyFont="true" applyNumberFormat="false" applyProtection="false" borderId="95" fillId="81" fontId="2" numFmtId="0" xfId="0">
      <alignment horizontal="center" vertical="center"/>
    </xf>
    <xf applyAlignment="true" applyBorder="false" applyFill="true" applyFont="true" applyNumberFormat="false" applyProtection="false" borderId="95" fillId="81" fontId="5" numFmtId="0" xfId="0">
      <alignment horizontal="center" vertical="center"/>
    </xf>
    <xf applyAlignment="true" applyBorder="false" applyFill="true" applyFont="true" applyNumberFormat="false" applyProtection="false" borderId="94" fillId="82" fontId="3" numFmtId="0" xfId="0">
      <alignment horizontal="center" vertical="center"/>
    </xf>
    <xf applyAlignment="true" applyBorder="false" applyFill="true" applyFont="true" applyNumberFormat="false" applyProtection="false" borderId="94" fillId="82" fontId="4" numFmtId="0" xfId="0">
      <alignment vertical="center"/>
    </xf>
    <xf applyAlignment="true" applyBorder="false" applyFill="false" applyFont="true" applyNumberFormat="false" applyProtection="false" borderId="94" fillId="0" fontId="4" numFmtId="0" xfId="0">
      <alignment vertical="center"/>
    </xf>
    <xf applyAlignment="true" applyBorder="false" applyFill="false" applyFont="true" applyNumberFormat="false" applyProtection="false" borderId="96" fillId="0" fontId="4" numFmtId="0" xfId="0">
      <alignment vertical="center"/>
    </xf>
    <xf applyAlignment="true" applyBorder="false" applyFill="false" applyFont="true" applyNumberFormat="false" applyProtection="false" borderId="96" fillId="0" fontId="4" numFmtId="0" xfId="0">
      <alignment vertical="center"/>
    </xf>
    <xf applyAlignment="true" applyBorder="false" applyFill="false" applyFont="true" applyNumberFormat="false" applyProtection="false" borderId="97" fillId="0" fontId="4" numFmtId="0" xfId="0">
      <alignment vertical="center"/>
    </xf>
    <xf applyAlignment="true" applyBorder="false" applyFill="false" applyFont="true" applyNumberFormat="false" applyProtection="false" borderId="91" fillId="0" fontId="2" numFmtId="0" xfId="0">
      <alignment vertical="center"/>
    </xf>
    <xf applyAlignment="true" applyBorder="false" applyFill="false" applyFont="true" applyNumberFormat="false" applyProtection="false" borderId="98" fillId="0" fontId="2" numFmtId="0" xfId="0">
      <alignment vertical="center"/>
    </xf>
    <xf applyAlignment="true" applyBorder="false" applyFill="false" applyFont="true" applyNumberFormat="false" applyProtection="false" borderId="94" fillId="0" fontId="2" numFmtId="0" xfId="0">
      <alignment vertical="center"/>
    </xf>
    <xf applyAlignment="true" applyBorder="false" applyFill="false" applyFont="true" applyNumberFormat="false" applyProtection="false" borderId="99" fillId="0" fontId="4" numFmtId="0" xfId="0">
      <alignment vertical="center"/>
    </xf>
    <xf applyAlignment="true" applyBorder="false" applyFill="false" applyFont="true" applyNumberFormat="false" applyProtection="false" borderId="100" fillId="0" fontId="1" numFmtId="0" xfId="0">
      <alignment horizontal="center" vertical="center" wrapText="true"/>
    </xf>
    <xf applyAlignment="true" applyBorder="false" applyFill="false" applyFont="true" applyNumberFormat="false" applyProtection="false" borderId="100" fillId="0" fontId="1" numFmtId="0" xfId="0">
      <alignment horizontal="center" vertical="center" wrapText="true"/>
    </xf>
    <xf applyAlignment="true" applyBorder="false" applyFill="false" applyFont="true" applyNumberFormat="true" applyProtection="false" borderId="100" fillId="0" fontId="1" numFmtId="175" xfId="0">
      <alignment horizontal="center" vertical="center" wrapText="true"/>
    </xf>
    <xf applyAlignment="true" applyBorder="false" applyFill="false" applyFont="true" applyNumberFormat="false" applyProtection="false" borderId="101"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102" fillId="0" fontId="6" numFmtId="0" xfId="0">
      <alignment horizontal="left" vertical="center" wrapText="true"/>
    </xf>
    <xf applyAlignment="true" applyBorder="false" applyFill="true" applyFont="true" applyNumberFormat="false" applyProtection="false" borderId="103" fillId="90" fontId="3" numFmtId="0" xfId="0">
      <alignment horizontal="center" vertical="center"/>
    </xf>
    <xf applyAlignment="true" applyBorder="false" applyFill="false" applyFont="true" applyNumberFormat="false" applyProtection="false" borderId="103" fillId="0" fontId="3" numFmtId="0" xfId="0">
      <alignment horizontal="center" vertical="center"/>
    </xf>
    <xf applyAlignment="true" applyBorder="false" applyFill="true" applyFont="true" applyNumberFormat="false" applyProtection="false" borderId="103" fillId="91" fontId="3" numFmtId="0" xfId="0">
      <alignment horizontal="center" vertical="center" wrapText="true"/>
    </xf>
    <xf applyAlignment="true" applyBorder="false" applyFill="true" applyFont="true" applyNumberFormat="false" applyProtection="false" borderId="103" fillId="91" fontId="3" numFmtId="0" xfId="0">
      <alignment vertical="center" wrapText="true"/>
    </xf>
    <xf applyAlignment="true" applyBorder="false" applyFill="true" applyFont="true" applyNumberFormat="false" applyProtection="false" borderId="103" fillId="91" fontId="3" numFmtId="0" xfId="0">
      <alignment horizontal="center" vertical="center"/>
    </xf>
    <xf applyAlignment="true" applyBorder="false" applyFill="true" applyFont="true" applyNumberFormat="false" applyProtection="false" borderId="103" fillId="91" fontId="4" numFmtId="0" xfId="0">
      <alignment horizontal="center" vertical="center"/>
    </xf>
    <xf applyAlignment="true" applyBorder="false" applyFill="true" applyFont="true" applyNumberFormat="false" applyProtection="false" borderId="103" fillId="91"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03" fillId="91" fontId="4" numFmtId="0" xfId="0">
      <alignment horizontal="center" vertical="center"/>
    </xf>
    <xf applyAlignment="true" applyBorder="false" applyFill="true" applyFont="true" applyNumberFormat="false" applyProtection="false" borderId="103" fillId="92" fontId="3" numFmtId="0" xfId="0">
      <alignment horizontal="center" vertical="center" wrapText="true"/>
    </xf>
    <xf applyAlignment="true" applyBorder="false" applyFill="true" applyFont="true" applyNumberFormat="false" applyProtection="false" borderId="103" fillId="92" fontId="3" numFmtId="0" xfId="0">
      <alignment horizontal="center" vertical="center"/>
    </xf>
    <xf applyAlignment="true" applyBorder="false" applyFill="true" applyFont="true" applyNumberFormat="false" applyProtection="false" borderId="103" fillId="92"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03" fillId="93" fontId="3" numFmtId="0" xfId="0">
      <alignment horizontal="center" vertical="center" wrapText="true"/>
    </xf>
    <xf applyAlignment="true" applyBorder="false" applyFill="false" applyFont="true" applyNumberFormat="false" applyProtection="false" borderId="103" fillId="0" fontId="3" numFmtId="0" xfId="0">
      <alignment horizontal="center" vertical="center" wrapText="true"/>
    </xf>
    <xf applyAlignment="true" applyBorder="false" applyFill="true" applyFont="true" applyNumberFormat="false" applyProtection="false" borderId="103" fillId="93" fontId="3" numFmtId="0" xfId="0">
      <alignment vertical="center" wrapText="true"/>
    </xf>
    <xf applyAlignment="true" applyBorder="false" applyFill="true" applyFont="true" applyNumberFormat="false" applyProtection="false" borderId="103" fillId="93" fontId="3" numFmtId="0" xfId="0">
      <alignment horizontal="center" vertical="center"/>
    </xf>
    <xf applyAlignment="true" applyBorder="false" applyFill="true" applyFont="true" applyNumberFormat="false" applyProtection="false" borderId="103" fillId="93" fontId="4" numFmtId="0" xfId="0">
      <alignment horizontal="center" vertical="center"/>
    </xf>
    <xf applyAlignment="true" applyBorder="false" applyFill="true" applyFont="true" applyNumberFormat="false" applyProtection="false" borderId="103" fillId="93" fontId="3" numFmtId="0" xfId="0">
      <alignment horizontal="center" vertical="center"/>
    </xf>
    <xf applyAlignment="true" applyBorder="false" applyFill="true" applyFont="true" applyNumberFormat="false" applyProtection="false" borderId="103" fillId="94" fontId="3" numFmtId="0" xfId="0">
      <alignment horizontal="center" vertical="center" wrapText="true"/>
    </xf>
    <xf applyAlignment="true" applyBorder="false" applyFill="true" applyFont="true" applyNumberFormat="false" applyProtection="false" borderId="103" fillId="94" fontId="3" numFmtId="0" xfId="0">
      <alignment horizontal="left" vertical="center" wrapText="true"/>
    </xf>
    <xf applyAlignment="true" applyBorder="false" applyFill="true" applyFont="true" applyNumberFormat="false" applyProtection="false" borderId="103" fillId="94" fontId="3" numFmtId="0" xfId="0">
      <alignment horizontal="center" vertical="center"/>
    </xf>
    <xf applyAlignment="true" applyBorder="false" applyFill="true" applyFont="true" applyNumberFormat="false" applyProtection="false" borderId="103" fillId="94" fontId="4" numFmtId="0" xfId="0">
      <alignment horizontal="center" vertical="center"/>
    </xf>
    <xf applyAlignment="true" applyBorder="false" applyFill="true" applyFont="true" applyNumberFormat="false" applyProtection="false" borderId="103" fillId="94" fontId="3" numFmtId="0" xfId="0">
      <alignment horizontal="center" vertical="center"/>
    </xf>
    <xf applyAlignment="true" applyBorder="false" applyFill="true" applyFont="true" applyNumberFormat="false" applyProtection="false" borderId="103" fillId="90" fontId="3" numFmtId="0" xfId="0">
      <alignment horizontal="center" vertical="center" wrapText="true"/>
    </xf>
    <xf applyAlignment="true" applyBorder="false" applyFill="true" applyFont="true" applyNumberFormat="false" applyProtection="false" borderId="103" fillId="90" fontId="3" numFmtId="0" xfId="0">
      <alignment horizontal="left" vertical="center" wrapText="true"/>
    </xf>
    <xf applyAlignment="true" applyBorder="false" applyFill="true" applyFont="true" applyNumberFormat="false" applyProtection="false" borderId="103" fillId="90" fontId="4" numFmtId="0" xfId="0">
      <alignment horizontal="center" vertical="center"/>
    </xf>
    <xf applyAlignment="true" applyBorder="false" applyFill="true" applyFont="true" applyNumberFormat="false" applyProtection="false" borderId="103" fillId="90" fontId="3" numFmtId="0" xfId="0">
      <alignment horizontal="center" vertical="center"/>
    </xf>
    <xf applyAlignment="true" applyBorder="false" applyFill="false" applyFont="true" applyNumberFormat="false" applyProtection="false" borderId="103" fillId="0" fontId="4" numFmtId="0" xfId="0">
      <alignment horizontal="center" vertical="center" wrapText="true"/>
    </xf>
    <xf applyAlignment="true" applyBorder="false" applyFill="false" applyFont="true" applyNumberFormat="false" applyProtection="false" borderId="103" fillId="0" fontId="3" numFmtId="0" xfId="0">
      <alignment horizontal="center" vertical="center"/>
    </xf>
    <xf applyAlignment="true" applyBorder="false" applyFill="false" applyFont="true" applyNumberFormat="false" applyProtection="false" borderId="103" fillId="0" fontId="4" numFmtId="0" xfId="0">
      <alignment horizontal="center" vertical="center"/>
    </xf>
    <xf applyAlignment="true" applyBorder="false" applyFill="false" applyFont="true" applyNumberFormat="false" applyProtection="false" borderId="103" fillId="0" fontId="4" numFmtId="0" xfId="0">
      <alignment vertical="center"/>
    </xf>
    <xf applyAlignment="true" applyBorder="false" applyFill="true" applyFont="true" applyNumberFormat="false" applyProtection="false" borderId="103" fillId="95" fontId="3" numFmtId="0" xfId="0">
      <alignment horizontal="center" vertical="center" wrapText="true"/>
    </xf>
    <xf applyAlignment="true" applyBorder="false" applyFill="true" applyFont="true" applyNumberFormat="false" applyProtection="false" borderId="103" fillId="95" fontId="3" numFmtId="0" xfId="0">
      <alignment vertical="center" wrapText="true"/>
    </xf>
    <xf applyAlignment="true" applyBorder="false" applyFill="true" applyFont="true" applyNumberFormat="false" applyProtection="false" borderId="103" fillId="95" fontId="3" numFmtId="0" xfId="0">
      <alignment horizontal="center" vertical="center"/>
    </xf>
    <xf applyAlignment="true" applyBorder="false" applyFill="true" applyFont="true" applyNumberFormat="false" applyProtection="false" borderId="103" fillId="95" fontId="4" numFmtId="0" xfId="0">
      <alignment horizontal="center" vertical="center"/>
    </xf>
    <xf applyAlignment="true" applyBorder="false" applyFill="true" applyFont="true" applyNumberFormat="false" applyProtection="false" borderId="103" fillId="95" fontId="3" numFmtId="0" xfId="0">
      <alignment horizontal="center" vertical="center"/>
    </xf>
    <xf applyAlignment="true" applyBorder="false" applyFill="true" applyFont="true" applyNumberFormat="false" applyProtection="false" borderId="103" fillId="96" fontId="5" numFmtId="0" xfId="0">
      <alignment horizontal="center" vertical="center"/>
    </xf>
    <xf applyAlignment="true" applyBorder="false" applyFill="true" applyFont="true" applyNumberFormat="false" applyProtection="false" borderId="103" fillId="96" fontId="3" numFmtId="0" xfId="0">
      <alignment vertical="center" wrapText="true"/>
    </xf>
    <xf applyAlignment="true" applyBorder="false" applyFill="true" applyFont="true" applyNumberFormat="false" applyProtection="false" borderId="103" fillId="96" fontId="3" numFmtId="0" xfId="0">
      <alignment horizontal="center" vertical="center"/>
    </xf>
    <xf applyAlignment="true" applyBorder="false" applyFill="true" applyFont="true" applyNumberFormat="false" applyProtection="false" borderId="103" fillId="96" fontId="4" numFmtId="0" xfId="0">
      <alignment horizontal="center" vertical="center"/>
    </xf>
    <xf applyAlignment="true" applyBorder="false" applyFill="true" applyFont="true" applyNumberFormat="false" applyProtection="false" borderId="103" fillId="96" fontId="3" numFmtId="0" xfId="0">
      <alignment horizontal="center" vertical="center"/>
    </xf>
    <xf applyAlignment="true" applyBorder="false" applyFill="true" applyFont="true" applyNumberFormat="false" applyProtection="false" borderId="103" fillId="97" fontId="5" numFmtId="0" xfId="0">
      <alignment horizontal="center" vertical="center"/>
    </xf>
    <xf applyAlignment="true" applyBorder="false" applyFill="true" applyFont="true" applyNumberFormat="false" applyProtection="false" borderId="103" fillId="97" fontId="3" numFmtId="0" xfId="0">
      <alignment vertical="center" wrapText="true"/>
    </xf>
    <xf applyAlignment="true" applyBorder="false" applyFill="true" applyFont="true" applyNumberFormat="false" applyProtection="false" borderId="103" fillId="97" fontId="3" numFmtId="0" xfId="0">
      <alignment horizontal="center" vertical="center"/>
    </xf>
    <xf applyAlignment="true" applyBorder="false" applyFill="true" applyFont="true" applyNumberFormat="false" applyProtection="false" borderId="103" fillId="97" fontId="4" numFmtId="0" xfId="0">
      <alignment horizontal="center" vertical="center"/>
    </xf>
    <xf applyAlignment="true" applyBorder="false" applyFill="true" applyFont="true" applyNumberFormat="false" applyProtection="false" borderId="103" fillId="97" fontId="3" numFmtId="0" xfId="0">
      <alignment horizontal="center" vertical="center"/>
    </xf>
    <xf applyAlignment="true" applyBorder="false" applyFill="true" applyFont="true" applyNumberFormat="false" applyProtection="false" borderId="103" fillId="98" fontId="3" numFmtId="0" xfId="0">
      <alignment horizontal="center" vertical="center" wrapText="true"/>
    </xf>
    <xf applyAlignment="true" applyBorder="false" applyFill="true" applyFont="true" applyNumberFormat="false" applyProtection="false" borderId="103" fillId="98" fontId="3" numFmtId="0" xfId="0">
      <alignment horizontal="left" vertical="center" wrapText="true"/>
    </xf>
    <xf applyAlignment="true" applyBorder="false" applyFill="true" applyFont="true" applyNumberFormat="false" applyProtection="false" borderId="103" fillId="98" fontId="3" numFmtId="0" xfId="0">
      <alignment horizontal="center" vertical="center"/>
    </xf>
    <xf applyAlignment="true" applyBorder="false" applyFill="true" applyFont="true" applyNumberFormat="false" applyProtection="false" borderId="103" fillId="98" fontId="4" numFmtId="0" xfId="0">
      <alignment horizontal="center" vertical="center"/>
    </xf>
    <xf applyAlignment="true" applyBorder="false" applyFill="true" applyFont="true" applyNumberFormat="false" applyProtection="false" borderId="104" fillId="98" fontId="5" numFmtId="0" xfId="0">
      <alignment horizontal="center" vertical="center"/>
    </xf>
    <xf applyAlignment="true" applyBorder="false" applyFill="false" applyFont="true" applyNumberFormat="false" applyProtection="false" borderId="104" fillId="0" fontId="2" numFmtId="0" xfId="0">
      <alignment horizontal="center" vertical="center" wrapText="true"/>
    </xf>
    <xf applyAlignment="true" applyBorder="false" applyFill="false" applyFont="true" applyNumberFormat="false" applyProtection="false" borderId="104" fillId="0" fontId="5" numFmtId="0" xfId="0">
      <alignment horizontal="center" vertical="center"/>
    </xf>
    <xf applyAlignment="true" applyBorder="false" applyFill="false" applyFont="true" applyNumberFormat="false" applyProtection="false" borderId="104" fillId="0" fontId="2" numFmtId="0" xfId="0">
      <alignment horizontal="center" vertical="center"/>
    </xf>
    <xf applyAlignment="true" applyBorder="false" applyFill="false" applyFont="true" applyNumberFormat="false" applyProtection="false" borderId="104" fillId="0" fontId="2" numFmtId="0" xfId="0">
      <alignment vertical="center"/>
    </xf>
    <xf applyAlignment="true" applyBorder="false" applyFill="true" applyFont="true" applyNumberFormat="false" applyProtection="false" borderId="103" fillId="92" fontId="4" numFmtId="0" xfId="0">
      <alignment vertical="center"/>
    </xf>
    <xf applyAlignment="true" applyBorder="false" applyFill="true" applyFont="true" applyNumberFormat="false" applyProtection="false" borderId="103" fillId="99" fontId="3" numFmtId="0" xfId="0">
      <alignment horizontal="center" vertical="center" wrapText="true"/>
    </xf>
    <xf applyAlignment="true" applyBorder="false" applyFill="true" applyFont="true" applyNumberFormat="false" applyProtection="false" borderId="103" fillId="99" fontId="3" numFmtId="0" xfId="0">
      <alignment horizontal="left" vertical="center" wrapText="true"/>
    </xf>
    <xf applyAlignment="true" applyBorder="false" applyFill="true" applyFont="true" applyNumberFormat="false" applyProtection="false" borderId="103" fillId="99" fontId="3" numFmtId="0" xfId="0">
      <alignment horizontal="center" vertical="center"/>
    </xf>
    <xf applyAlignment="true" applyBorder="false" applyFill="true" applyFont="true" applyNumberFormat="false" applyProtection="false" borderId="103" fillId="99" fontId="4" numFmtId="0" xfId="0">
      <alignment horizontal="center" vertical="center"/>
    </xf>
    <xf applyAlignment="true" applyBorder="false" applyFill="true" applyFont="true" applyNumberFormat="false" applyProtection="false" borderId="104" fillId="99" fontId="5" numFmtId="0" xfId="0">
      <alignment horizontal="center" vertical="center"/>
    </xf>
    <xf applyAlignment="true" applyBorder="false" applyFill="true" applyFont="true" applyNumberFormat="false" applyProtection="false" borderId="103" fillId="97" fontId="3" numFmtId="0" xfId="0">
      <alignment horizontal="center" vertical="center" wrapText="true"/>
    </xf>
    <xf applyAlignment="true" applyBorder="false" applyFill="true" applyFont="true" applyNumberFormat="false" applyProtection="false" borderId="103" fillId="97" fontId="3" numFmtId="0" xfId="0">
      <alignment horizontal="left" vertical="center" wrapText="true"/>
    </xf>
    <xf applyAlignment="true" applyBorder="false" applyFill="true" applyFont="true" applyNumberFormat="false" applyProtection="false" borderId="104" fillId="97"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03" fillId="96" fontId="3" numFmtId="0" xfId="0">
      <alignment horizontal="center" vertical="center" wrapText="true"/>
    </xf>
    <xf applyAlignment="true" applyBorder="false" applyFill="true" applyFont="true" applyNumberFormat="false" applyProtection="false" borderId="103" fillId="96" fontId="3" numFmtId="0" xfId="0">
      <alignment horizontal="left" vertical="center" wrapText="true"/>
    </xf>
    <xf applyAlignment="true" applyBorder="false" applyFill="true" applyFont="true" applyNumberFormat="false" applyProtection="false" borderId="104" fillId="96" fontId="5" numFmtId="0" xfId="0">
      <alignment horizontal="center" vertical="center"/>
    </xf>
    <xf applyAlignment="true" applyBorder="false" applyFill="true" applyFont="true" applyNumberFormat="false" applyProtection="false" borderId="103" fillId="90" fontId="3" numFmtId="0" xfId="0">
      <alignment horizontal="left" vertical="center"/>
    </xf>
    <xf applyAlignment="true" applyBorder="false" applyFill="true" applyFont="true" applyNumberFormat="false" applyProtection="false" borderId="104" fillId="90" fontId="5" numFmtId="0" xfId="0">
      <alignment horizontal="center" vertical="center"/>
    </xf>
    <xf applyAlignment="true" applyBorder="false" applyFill="true" applyFont="true" applyNumberFormat="false" applyProtection="false" borderId="104" fillId="99" fontId="5" numFmtId="0" xfId="0">
      <alignment horizontal="center" vertical="center" wrapText="true"/>
    </xf>
    <xf applyAlignment="true" applyBorder="false" applyFill="true" applyFont="true" applyNumberFormat="false" applyProtection="false" borderId="104" fillId="99" fontId="5" numFmtId="0" xfId="0">
      <alignment horizontal="left" vertical="center" wrapText="true"/>
    </xf>
    <xf applyAlignment="true" applyBorder="false" applyFill="true" applyFont="true" applyNumberFormat="false" applyProtection="false" borderId="104" fillId="99" fontId="5" numFmtId="0" xfId="0">
      <alignment horizontal="center" vertical="center"/>
    </xf>
    <xf applyAlignment="true" applyBorder="false" applyFill="true" applyFont="true" applyNumberFormat="false" applyProtection="false" borderId="104" fillId="99" fontId="2" numFmtId="0" xfId="0">
      <alignment horizontal="center" vertical="center"/>
    </xf>
    <xf applyAlignment="true" applyBorder="false" applyFill="true" applyFont="true" applyNumberFormat="false" applyProtection="false" borderId="104" fillId="94" fontId="5" numFmtId="0" xfId="0">
      <alignment horizontal="center" vertical="center" wrapText="true"/>
    </xf>
    <xf applyAlignment="true" applyBorder="false" applyFill="true" applyFont="true" applyNumberFormat="false" applyProtection="false" borderId="104" fillId="94" fontId="5" numFmtId="0" xfId="0">
      <alignment horizontal="left" vertical="center" wrapText="true"/>
    </xf>
    <xf applyAlignment="true" applyBorder="false" applyFill="true" applyFont="true" applyNumberFormat="false" applyProtection="false" borderId="104" fillId="94" fontId="5" numFmtId="0" xfId="0">
      <alignment horizontal="center" vertical="center"/>
    </xf>
    <xf applyAlignment="true" applyBorder="false" applyFill="true" applyFont="true" applyNumberFormat="false" applyProtection="false" borderId="104" fillId="94" fontId="2" numFmtId="0" xfId="0">
      <alignment horizontal="center" vertical="center"/>
    </xf>
    <xf applyAlignment="true" applyBorder="false" applyFill="true" applyFont="true" applyNumberFormat="false" applyProtection="false" borderId="104" fillId="94" fontId="5" numFmtId="0" xfId="0">
      <alignment horizontal="center" vertical="center"/>
    </xf>
    <xf applyAlignment="true" applyBorder="false" applyFill="true" applyFont="true" applyNumberFormat="false" applyProtection="false" borderId="104" fillId="95" fontId="5" numFmtId="0" xfId="0">
      <alignment horizontal="center" vertical="center" wrapText="true"/>
    </xf>
    <xf applyAlignment="true" applyBorder="false" applyFill="true" applyFont="true" applyNumberFormat="false" applyProtection="false" borderId="104" fillId="95" fontId="5" numFmtId="0" xfId="0">
      <alignment horizontal="left" vertical="center" wrapText="true"/>
    </xf>
    <xf applyAlignment="true" applyBorder="false" applyFill="true" applyFont="true" applyNumberFormat="false" applyProtection="false" borderId="104" fillId="95" fontId="5" numFmtId="0" xfId="0">
      <alignment horizontal="center" vertical="center"/>
    </xf>
    <xf applyAlignment="true" applyBorder="false" applyFill="true" applyFont="true" applyNumberFormat="false" applyProtection="false" borderId="104" fillId="95" fontId="2" numFmtId="0" xfId="0">
      <alignment horizontal="center" vertical="center"/>
    </xf>
    <xf applyAlignment="true" applyBorder="false" applyFill="true" applyFont="true" applyNumberFormat="false" applyProtection="false" borderId="104" fillId="95" fontId="5" numFmtId="0" xfId="0">
      <alignment horizontal="center" vertical="center"/>
    </xf>
    <xf applyAlignment="true" applyBorder="false" applyFill="true" applyFont="true" applyNumberFormat="false" applyProtection="false" borderId="104" fillId="91" fontId="5" numFmtId="0" xfId="0">
      <alignment horizontal="center" vertical="center" wrapText="true"/>
    </xf>
    <xf applyAlignment="true" applyBorder="false" applyFill="true" applyFont="true" applyNumberFormat="false" applyProtection="false" borderId="104" fillId="91" fontId="5" numFmtId="0" xfId="0">
      <alignment horizontal="left" vertical="center" wrapText="true"/>
    </xf>
    <xf applyAlignment="true" applyBorder="false" applyFill="true" applyFont="true" applyNumberFormat="false" applyProtection="false" borderId="104" fillId="91" fontId="5" numFmtId="0" xfId="0">
      <alignment horizontal="center" vertical="center"/>
    </xf>
    <xf applyAlignment="true" applyBorder="false" applyFill="true" applyFont="true" applyNumberFormat="false" applyProtection="false" borderId="104" fillId="91" fontId="2" numFmtId="0" xfId="0">
      <alignment horizontal="center" vertical="center"/>
    </xf>
    <xf applyAlignment="true" applyBorder="false" applyFill="true" applyFont="true" applyNumberFormat="false" applyProtection="false" borderId="104" fillId="91" fontId="5" numFmtId="0" xfId="0">
      <alignment horizontal="center" vertical="center"/>
    </xf>
    <xf applyAlignment="true" applyBorder="false" applyFill="true" applyFont="true" applyNumberFormat="false" applyProtection="false" borderId="103" fillId="100" fontId="3" numFmtId="0" xfId="0">
      <alignment horizontal="center" vertical="center" wrapText="true"/>
    </xf>
    <xf applyAlignment="true" applyBorder="false" applyFill="true" applyFont="true" applyNumberFormat="false" applyProtection="false" borderId="103" fillId="100" fontId="3" numFmtId="0" xfId="0">
      <alignment horizontal="left" vertical="center" wrapText="true"/>
    </xf>
    <xf applyAlignment="true" applyBorder="false" applyFill="true" applyFont="true" applyNumberFormat="false" applyProtection="false" borderId="103" fillId="100" fontId="3" numFmtId="0" xfId="0">
      <alignment horizontal="center" vertical="center"/>
    </xf>
    <xf applyAlignment="true" applyBorder="false" applyFill="true" applyFont="true" applyNumberFormat="false" applyProtection="false" borderId="103" fillId="100" fontId="4" numFmtId="0" xfId="0">
      <alignment horizontal="center" vertical="center"/>
    </xf>
    <xf applyAlignment="true" applyBorder="false" applyFill="true" applyFont="true" applyNumberFormat="false" applyProtection="false" borderId="104" fillId="100" fontId="5" numFmtId="0" xfId="0">
      <alignment horizontal="center" vertical="center"/>
    </xf>
    <xf applyAlignment="true" applyBorder="false" applyFill="true" applyFont="true" applyNumberFormat="false" applyProtection="false" borderId="103" fillId="93" fontId="3" numFmtId="0" xfId="0">
      <alignment horizontal="left" vertical="center" wrapText="true"/>
    </xf>
    <xf applyAlignment="true" applyBorder="false" applyFill="true" applyFont="true" applyNumberFormat="false" applyProtection="false" borderId="104" fillId="93" fontId="5" numFmtId="0" xfId="0">
      <alignment horizontal="center" vertical="center"/>
    </xf>
    <xf applyAlignment="true" applyBorder="false" applyFill="true" applyFont="true" applyNumberFormat="false" applyProtection="false" borderId="103" fillId="92" fontId="3" numFmtId="0" xfId="0">
      <alignment horizontal="center" vertical="center"/>
    </xf>
    <xf applyAlignment="true" applyBorder="false" applyFill="true" applyFont="true" applyNumberFormat="false" applyProtection="false" borderId="103" fillId="92" fontId="4" numFmtId="0" xfId="0">
      <alignment vertical="center"/>
    </xf>
    <xf applyAlignment="true" applyBorder="false" applyFill="false" applyFont="true" applyNumberFormat="false" applyProtection="false" borderId="103" fillId="0" fontId="4" numFmtId="0" xfId="0">
      <alignment vertical="center"/>
    </xf>
    <xf applyAlignment="true" applyBorder="false" applyFill="false" applyFont="true" applyNumberFormat="false" applyProtection="false" borderId="105" fillId="0" fontId="4" numFmtId="0" xfId="0">
      <alignment vertical="center"/>
    </xf>
    <xf applyAlignment="true" applyBorder="false" applyFill="false" applyFont="true" applyNumberFormat="false" applyProtection="false" borderId="105" fillId="0" fontId="4" numFmtId="0" xfId="0">
      <alignment vertical="center"/>
    </xf>
    <xf applyAlignment="true" applyBorder="false" applyFill="false" applyFont="true" applyNumberFormat="false" applyProtection="false" borderId="106" fillId="0" fontId="4" numFmtId="0" xfId="0">
      <alignment vertical="center"/>
    </xf>
    <xf applyAlignment="true" applyBorder="false" applyFill="false" applyFont="true" applyNumberFormat="false" applyProtection="false" borderId="100" fillId="0" fontId="2" numFmtId="0" xfId="0">
      <alignment vertical="center"/>
    </xf>
    <xf applyAlignment="true" applyBorder="false" applyFill="false" applyFont="true" applyNumberFormat="false" applyProtection="false" borderId="107" fillId="0" fontId="2" numFmtId="0" xfId="0">
      <alignment vertical="center"/>
    </xf>
    <xf applyAlignment="true" applyBorder="false" applyFill="false" applyFont="true" applyNumberFormat="false" applyProtection="false" borderId="103" fillId="0" fontId="2" numFmtId="0" xfId="0">
      <alignment vertical="center"/>
    </xf>
    <xf applyAlignment="true" applyBorder="false" applyFill="false" applyFont="true" applyNumberFormat="false" applyProtection="false" borderId="108" fillId="0" fontId="4" numFmtId="0" xfId="0">
      <alignment vertical="center"/>
    </xf>
    <xf applyAlignment="true" applyBorder="false" applyFill="false" applyFont="true" applyNumberFormat="false" applyProtection="false" borderId="109" fillId="0" fontId="1" numFmtId="0" xfId="0">
      <alignment horizontal="center" vertical="center" wrapText="true"/>
    </xf>
    <xf applyAlignment="true" applyBorder="false" applyFill="false" applyFont="true" applyNumberFormat="false" applyProtection="false" borderId="109" fillId="0" fontId="1" numFmtId="0" xfId="0">
      <alignment horizontal="center" vertical="center" wrapText="true"/>
    </xf>
    <xf applyAlignment="true" applyBorder="false" applyFill="false" applyFont="true" applyNumberFormat="true" applyProtection="false" borderId="109" fillId="0" fontId="1" numFmtId="176" xfId="0">
      <alignment horizontal="center" vertical="center" wrapText="true"/>
    </xf>
    <xf applyAlignment="true" applyBorder="false" applyFill="false" applyFont="true" applyNumberFormat="false" applyProtection="false" borderId="110"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111" fillId="0" fontId="6" numFmtId="0" xfId="0">
      <alignment horizontal="left" vertical="center" wrapText="true"/>
    </xf>
    <xf applyAlignment="true" applyBorder="false" applyFill="true" applyFont="true" applyNumberFormat="false" applyProtection="false" borderId="112" fillId="101" fontId="3" numFmtId="0" xfId="0">
      <alignment horizontal="center" vertical="center"/>
    </xf>
    <xf applyAlignment="true" applyBorder="false" applyFill="false" applyFont="true" applyNumberFormat="false" applyProtection="false" borderId="112" fillId="0" fontId="3" numFmtId="0" xfId="0">
      <alignment horizontal="center" vertical="center"/>
    </xf>
    <xf applyAlignment="true" applyBorder="false" applyFill="true" applyFont="true" applyNumberFormat="false" applyProtection="false" borderId="112" fillId="102" fontId="3" numFmtId="0" xfId="0">
      <alignment horizontal="center" vertical="center" wrapText="true"/>
    </xf>
    <xf applyAlignment="true" applyBorder="false" applyFill="true" applyFont="true" applyNumberFormat="false" applyProtection="false" borderId="112" fillId="102" fontId="3" numFmtId="0" xfId="0">
      <alignment vertical="center" wrapText="true"/>
    </xf>
    <xf applyAlignment="true" applyBorder="false" applyFill="true" applyFont="true" applyNumberFormat="false" applyProtection="false" borderId="112" fillId="102" fontId="3" numFmtId="0" xfId="0">
      <alignment horizontal="center" vertical="center"/>
    </xf>
    <xf applyAlignment="true" applyBorder="false" applyFill="true" applyFont="true" applyNumberFormat="false" applyProtection="false" borderId="112" fillId="102" fontId="4" numFmtId="0" xfId="0">
      <alignment horizontal="center" vertical="center"/>
    </xf>
    <xf applyAlignment="true" applyBorder="false" applyFill="true" applyFont="true" applyNumberFormat="false" applyProtection="false" borderId="112" fillId="102"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12" fillId="103" fontId="3" numFmtId="0" xfId="0">
      <alignment horizontal="center" vertical="center" wrapText="true"/>
    </xf>
    <xf applyAlignment="true" applyBorder="false" applyFill="true" applyFont="true" applyNumberFormat="false" applyProtection="false" borderId="112" fillId="103" fontId="3" numFmtId="0" xfId="0">
      <alignment horizontal="center" vertical="center"/>
    </xf>
    <xf applyAlignment="true" applyBorder="false" applyFill="true" applyFont="true" applyNumberFormat="false" applyProtection="false" borderId="112" fillId="103"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12" fillId="104" fontId="3" numFmtId="0" xfId="0">
      <alignment horizontal="center" vertical="center" wrapText="true"/>
    </xf>
    <xf applyAlignment="true" applyBorder="false" applyFill="false" applyFont="true" applyNumberFormat="false" applyProtection="false" borderId="112" fillId="0" fontId="3" numFmtId="0" xfId="0">
      <alignment horizontal="center" vertical="center" wrapText="true"/>
    </xf>
    <xf applyAlignment="true" applyBorder="false" applyFill="true" applyFont="true" applyNumberFormat="false" applyProtection="false" borderId="112" fillId="104" fontId="3" numFmtId="0" xfId="0">
      <alignment vertical="center" wrapText="true"/>
    </xf>
    <xf applyAlignment="true" applyBorder="false" applyFill="true" applyFont="true" applyNumberFormat="false" applyProtection="false" borderId="112" fillId="104" fontId="3" numFmtId="0" xfId="0">
      <alignment horizontal="center" vertical="center"/>
    </xf>
    <xf applyAlignment="true" applyBorder="false" applyFill="true" applyFont="true" applyNumberFormat="false" applyProtection="false" borderId="112" fillId="104" fontId="4" numFmtId="0" xfId="0">
      <alignment horizontal="center" vertical="center"/>
    </xf>
    <xf applyAlignment="true" applyBorder="false" applyFill="true" applyFont="true" applyNumberFormat="false" applyProtection="false" borderId="112" fillId="104" fontId="3" numFmtId="0" xfId="0">
      <alignment horizontal="center" vertical="center"/>
    </xf>
    <xf applyAlignment="true" applyBorder="false" applyFill="true" applyFont="true" applyNumberFormat="false" applyProtection="false" borderId="112" fillId="105" fontId="3" numFmtId="0" xfId="0">
      <alignment horizontal="center" vertical="center" wrapText="true"/>
    </xf>
    <xf applyAlignment="true" applyBorder="false" applyFill="true" applyFont="true" applyNumberFormat="false" applyProtection="false" borderId="112" fillId="105" fontId="3" numFmtId="0" xfId="0">
      <alignment horizontal="left" vertical="center" wrapText="true"/>
    </xf>
    <xf applyAlignment="true" applyBorder="false" applyFill="true" applyFont="true" applyNumberFormat="false" applyProtection="false" borderId="112" fillId="105" fontId="3" numFmtId="0" xfId="0">
      <alignment horizontal="center" vertical="center"/>
    </xf>
    <xf applyAlignment="true" applyBorder="false" applyFill="true" applyFont="true" applyNumberFormat="false" applyProtection="false" borderId="112" fillId="105" fontId="4" numFmtId="0" xfId="0">
      <alignment horizontal="center" vertical="center"/>
    </xf>
    <xf applyAlignment="true" applyBorder="false" applyFill="true" applyFont="true" applyNumberFormat="false" applyProtection="false" borderId="112" fillId="105" fontId="3" numFmtId="0" xfId="0">
      <alignment horizontal="center" vertical="center"/>
    </xf>
    <xf applyAlignment="true" applyBorder="false" applyFill="true" applyFont="true" applyNumberFormat="false" applyProtection="false" borderId="112" fillId="101" fontId="3" numFmtId="0" xfId="0">
      <alignment horizontal="center" vertical="center" wrapText="true"/>
    </xf>
    <xf applyAlignment="true" applyBorder="false" applyFill="true" applyFont="true" applyNumberFormat="false" applyProtection="false" borderId="112" fillId="101" fontId="3" numFmtId="0" xfId="0">
      <alignment horizontal="left" vertical="center" wrapText="true"/>
    </xf>
    <xf applyAlignment="true" applyBorder="false" applyFill="true" applyFont="true" applyNumberFormat="false" applyProtection="false" borderId="112" fillId="101" fontId="4" numFmtId="0" xfId="0">
      <alignment horizontal="center" vertical="center"/>
    </xf>
    <xf applyAlignment="true" applyBorder="false" applyFill="true" applyFont="true" applyNumberFormat="false" applyProtection="false" borderId="112" fillId="101" fontId="3" numFmtId="0" xfId="0">
      <alignment horizontal="center" vertical="center"/>
    </xf>
    <xf applyAlignment="true" applyBorder="false" applyFill="true" applyFont="true" applyNumberFormat="false" applyProtection="false" borderId="112" fillId="106" fontId="3" numFmtId="0" xfId="0">
      <alignment horizontal="center" vertical="center" wrapText="true"/>
    </xf>
    <xf applyAlignment="true" applyBorder="false" applyFill="true" applyFont="true" applyNumberFormat="false" applyProtection="false" borderId="112" fillId="106" fontId="3" numFmtId="0" xfId="0">
      <alignment horizontal="left" vertical="center" wrapText="true"/>
    </xf>
    <xf applyAlignment="true" applyBorder="false" applyFill="true" applyFont="true" applyNumberFormat="false" applyProtection="false" borderId="112" fillId="106" fontId="3" numFmtId="0" xfId="0">
      <alignment horizontal="center" vertical="center"/>
    </xf>
    <xf applyAlignment="true" applyBorder="false" applyFill="true" applyFont="true" applyNumberFormat="false" applyProtection="false" borderId="112" fillId="106" fontId="4" numFmtId="0" xfId="0">
      <alignment horizontal="center" vertical="center"/>
    </xf>
    <xf applyAlignment="true" applyBorder="false" applyFill="true" applyFont="true" applyNumberFormat="false" applyProtection="false" borderId="112" fillId="106" fontId="3" numFmtId="0" xfId="0">
      <alignment horizontal="center" vertical="center"/>
    </xf>
    <xf applyAlignment="true" applyBorder="false" applyFill="true" applyFont="true" applyNumberFormat="false" applyProtection="false" borderId="112" fillId="107" fontId="3" numFmtId="0" xfId="0">
      <alignment horizontal="center" vertical="center" wrapText="true"/>
    </xf>
    <xf applyAlignment="true" applyBorder="false" applyFill="true" applyFont="true" applyNumberFormat="false" applyProtection="false" borderId="112" fillId="107" fontId="3" numFmtId="0" xfId="0">
      <alignment horizontal="left" vertical="center" wrapText="true"/>
    </xf>
    <xf applyAlignment="true" applyBorder="false" applyFill="true" applyFont="true" applyNumberFormat="false" applyProtection="false" borderId="112" fillId="107" fontId="3" numFmtId="0" xfId="0">
      <alignment horizontal="center" vertical="center"/>
    </xf>
    <xf applyAlignment="true" applyBorder="false" applyFill="true" applyFont="true" applyNumberFormat="false" applyProtection="false" borderId="112" fillId="107" fontId="4" numFmtId="0" xfId="0">
      <alignment horizontal="center" vertical="center"/>
    </xf>
    <xf applyAlignment="true" applyBorder="false" applyFill="true" applyFont="true" applyNumberFormat="false" applyProtection="false" borderId="112" fillId="107" fontId="3" numFmtId="0" xfId="0">
      <alignment horizontal="center" vertical="center"/>
    </xf>
    <xf applyAlignment="true" applyBorder="false" applyFill="false" applyFont="true" applyNumberFormat="false" applyProtection="false" borderId="112" fillId="0" fontId="4" numFmtId="0" xfId="0">
      <alignment horizontal="center" vertical="center" wrapText="true"/>
    </xf>
    <xf applyAlignment="true" applyBorder="false" applyFill="false" applyFont="true" applyNumberFormat="false" applyProtection="false" borderId="112" fillId="0" fontId="3" numFmtId="0" xfId="0">
      <alignment horizontal="center" vertical="center"/>
    </xf>
    <xf applyAlignment="true" applyBorder="false" applyFill="false" applyFont="true" applyNumberFormat="false" applyProtection="false" borderId="112" fillId="0" fontId="4" numFmtId="0" xfId="0">
      <alignment horizontal="center" vertical="center"/>
    </xf>
    <xf applyAlignment="true" applyBorder="false" applyFill="false" applyFont="true" applyNumberFormat="false" applyProtection="false" borderId="112"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12" fillId="108" fontId="3" numFmtId="0" xfId="0">
      <alignment horizontal="center" vertical="center" wrapText="true"/>
    </xf>
    <xf applyAlignment="true" applyBorder="false" applyFill="true" applyFont="true" applyNumberFormat="false" applyProtection="false" borderId="112" fillId="108" fontId="3" numFmtId="0" xfId="0">
      <alignment vertical="center" wrapText="true"/>
    </xf>
    <xf applyAlignment="true" applyBorder="false" applyFill="true" applyFont="true" applyNumberFormat="false" applyProtection="false" borderId="112" fillId="108" fontId="3" numFmtId="0" xfId="0">
      <alignment horizontal="center" vertical="center"/>
    </xf>
    <xf applyAlignment="true" applyBorder="false" applyFill="true" applyFont="true" applyNumberFormat="false" applyProtection="false" borderId="112" fillId="108" fontId="4" numFmtId="0" xfId="0">
      <alignment horizontal="center" vertical="center"/>
    </xf>
    <xf applyAlignment="true" applyBorder="false" applyFill="true" applyFont="true" applyNumberFormat="false" applyProtection="false" borderId="112" fillId="108" fontId="3" numFmtId="0" xfId="0">
      <alignment horizontal="center" vertical="center"/>
    </xf>
    <xf applyAlignment="true" applyBorder="false" applyFill="true" applyFont="true" applyNumberFormat="false" applyProtection="false" borderId="112" fillId="107" fontId="5" numFmtId="0" xfId="0">
      <alignment horizontal="center" vertical="center"/>
    </xf>
    <xf applyAlignment="true" applyBorder="false" applyFill="true" applyFont="true" applyNumberFormat="false" applyProtection="false" borderId="112" fillId="107" fontId="3" numFmtId="0" xfId="0">
      <alignment vertical="center" wrapText="true"/>
    </xf>
    <xf applyAlignment="true" applyBorder="false" applyFill="true" applyFont="true" applyNumberFormat="false" applyProtection="false" borderId="112" fillId="106" fontId="5" numFmtId="0" xfId="0">
      <alignment horizontal="center" vertical="center"/>
    </xf>
    <xf applyAlignment="true" applyBorder="false" applyFill="true" applyFont="true" applyNumberFormat="false" applyProtection="false" borderId="112" fillId="106" fontId="3" numFmtId="0" xfId="0">
      <alignment vertical="center" wrapText="true"/>
    </xf>
    <xf applyAlignment="true" applyBorder="false" applyFill="true" applyFont="true" applyNumberFormat="false" applyProtection="false" borderId="112" fillId="109" fontId="3" numFmtId="0" xfId="0">
      <alignment horizontal="center" vertical="center" wrapText="true"/>
    </xf>
    <xf applyAlignment="true" applyBorder="false" applyFill="true" applyFont="true" applyNumberFormat="false" applyProtection="false" borderId="112" fillId="109" fontId="3" numFmtId="0" xfId="0">
      <alignment horizontal="left" vertical="center" wrapText="true"/>
    </xf>
    <xf applyAlignment="true" applyBorder="false" applyFill="true" applyFont="true" applyNumberFormat="false" applyProtection="false" borderId="112" fillId="109" fontId="3" numFmtId="0" xfId="0">
      <alignment horizontal="center" vertical="center"/>
    </xf>
    <xf applyAlignment="true" applyBorder="false" applyFill="true" applyFont="true" applyNumberFormat="false" applyProtection="false" borderId="112" fillId="109" fontId="4" numFmtId="0" xfId="0">
      <alignment horizontal="center" vertical="center"/>
    </xf>
    <xf applyAlignment="true" applyBorder="false" applyFill="true" applyFont="true" applyNumberFormat="false" applyProtection="false" borderId="113" fillId="109" fontId="5" numFmtId="0" xfId="0">
      <alignment horizontal="center" vertical="center"/>
    </xf>
    <xf applyAlignment="true" applyBorder="false" applyFill="false" applyFont="true" applyNumberFormat="false" applyProtection="false" borderId="113" fillId="0" fontId="2" numFmtId="0" xfId="0">
      <alignment horizontal="center" vertical="center" wrapText="true"/>
    </xf>
    <xf applyAlignment="true" applyBorder="false" applyFill="false" applyFont="true" applyNumberFormat="false" applyProtection="false" borderId="113" fillId="0" fontId="5" numFmtId="0" xfId="0">
      <alignment horizontal="center" vertical="center"/>
    </xf>
    <xf applyAlignment="true" applyBorder="false" applyFill="false" applyFont="true" applyNumberFormat="false" applyProtection="false" borderId="113" fillId="0" fontId="2" numFmtId="0" xfId="0">
      <alignment horizontal="center" vertical="center"/>
    </xf>
    <xf applyAlignment="true" applyBorder="false" applyFill="false" applyFont="true" applyNumberFormat="false" applyProtection="false" borderId="113" fillId="0" fontId="2" numFmtId="0" xfId="0">
      <alignment vertical="center"/>
    </xf>
    <xf applyAlignment="true" applyBorder="false" applyFill="true" applyFont="true" applyNumberFormat="false" applyProtection="false" borderId="112" fillId="101" fontId="5" numFmtId="0" xfId="0">
      <alignment horizontal="center" vertical="center"/>
    </xf>
    <xf applyAlignment="true" applyBorder="false" applyFill="true" applyFont="true" applyNumberFormat="false" applyProtection="false" borderId="112" fillId="101" fontId="3" numFmtId="0" xfId="0">
      <alignment vertical="center" wrapText="true"/>
    </xf>
    <xf applyAlignment="true" applyBorder="false" applyFill="true" applyFont="true" applyNumberFormat="false" applyProtection="false" borderId="112" fillId="110" fontId="5" numFmtId="0" xfId="0">
      <alignment horizontal="center" vertical="center"/>
    </xf>
    <xf applyAlignment="true" applyBorder="false" applyFill="true" applyFont="true" applyNumberFormat="false" applyProtection="false" borderId="112" fillId="110" fontId="3" numFmtId="0" xfId="0">
      <alignment vertical="center" wrapText="true"/>
    </xf>
    <xf applyAlignment="true" applyBorder="false" applyFill="true" applyFont="true" applyNumberFormat="false" applyProtection="false" borderId="112" fillId="110" fontId="3" numFmtId="0" xfId="0">
      <alignment horizontal="center" vertical="center"/>
    </xf>
    <xf applyAlignment="true" applyBorder="false" applyFill="true" applyFont="true" applyNumberFormat="false" applyProtection="false" borderId="112" fillId="110" fontId="4" numFmtId="0" xfId="0">
      <alignment horizontal="center" vertical="center"/>
    </xf>
    <xf applyAlignment="true" applyBorder="false" applyFill="true" applyFont="true" applyNumberFormat="false" applyProtection="false" borderId="112" fillId="110" fontId="3" numFmtId="0" xfId="0">
      <alignment horizontal="center" vertical="center"/>
    </xf>
    <xf applyAlignment="true" applyBorder="false" applyFill="true" applyFont="true" applyNumberFormat="false" applyProtection="false" borderId="112" fillId="105" fontId="5" numFmtId="0" xfId="0">
      <alignment horizontal="center" vertical="center"/>
    </xf>
    <xf applyAlignment="true" applyBorder="false" applyFill="true" applyFont="true" applyNumberFormat="false" applyProtection="false" borderId="112" fillId="105" fontId="3" numFmtId="0" xfId="0">
      <alignment vertical="center" wrapText="true"/>
    </xf>
    <xf applyAlignment="true" applyBorder="false" applyFill="true" applyFont="true" applyNumberFormat="false" applyProtection="false" borderId="112" fillId="103" fontId="4" numFmtId="0" xfId="0">
      <alignment vertical="center"/>
    </xf>
    <xf applyAlignment="true" applyBorder="false" applyFill="true" applyFont="true" applyNumberFormat="false" applyProtection="false" borderId="112" fillId="110" fontId="3" numFmtId="0" xfId="0">
      <alignment horizontal="center" vertical="center" wrapText="true"/>
    </xf>
    <xf applyAlignment="true" applyBorder="false" applyFill="true" applyFont="true" applyNumberFormat="false" applyProtection="false" borderId="112" fillId="110" fontId="3" numFmtId="0" xfId="0">
      <alignment horizontal="left" vertical="center" wrapText="true"/>
    </xf>
    <xf applyAlignment="true" applyBorder="false" applyFill="true" applyFont="true" applyNumberFormat="false" applyProtection="false" borderId="112" fillId="110" fontId="4" numFmtId="0" xfId="0">
      <alignment horizontal="center" vertical="center"/>
    </xf>
    <xf applyAlignment="true" applyBorder="false" applyFill="true" applyFont="true" applyNumberFormat="false" applyProtection="false" borderId="113" fillId="110" fontId="5" numFmtId="0" xfId="0">
      <alignment horizontal="center" vertical="center"/>
    </xf>
    <xf applyAlignment="true" applyBorder="false" applyFill="true" applyFont="true" applyNumberFormat="false" applyProtection="false" borderId="113" fillId="106"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13" fillId="107" fontId="5" numFmtId="0" xfId="0">
      <alignment horizontal="center" vertical="center"/>
    </xf>
    <xf applyAlignment="true" applyBorder="false" applyFill="true" applyFont="true" applyNumberFormat="false" applyProtection="false" borderId="112" fillId="101" fontId="4" numFmtId="0" xfId="0">
      <alignment horizontal="center" vertical="center"/>
    </xf>
    <xf applyAlignment="true" applyBorder="false" applyFill="true" applyFont="true" applyNumberFormat="false" applyProtection="false" borderId="113" fillId="101"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13" fillId="110" fontId="5" numFmtId="0" xfId="0">
      <alignment horizontal="center" vertical="center" wrapText="true"/>
    </xf>
    <xf applyAlignment="true" applyBorder="false" applyFill="true" applyFont="true" applyNumberFormat="false" applyProtection="false" borderId="113" fillId="110" fontId="5" numFmtId="0" xfId="0">
      <alignment horizontal="left" vertical="center" wrapText="true"/>
    </xf>
    <xf applyAlignment="true" applyBorder="false" applyFill="true" applyFont="true" applyNumberFormat="false" applyProtection="false" borderId="113" fillId="110" fontId="5" numFmtId="0" xfId="0">
      <alignment horizontal="center" vertical="center"/>
    </xf>
    <xf applyAlignment="true" applyBorder="false" applyFill="true" applyFont="true" applyNumberFormat="false" applyProtection="false" borderId="113" fillId="110" fontId="2" numFmtId="0" xfId="0">
      <alignment horizontal="center" vertical="center"/>
    </xf>
    <xf applyAlignment="true" applyBorder="false" applyFill="true" applyFont="true" applyNumberFormat="false" applyProtection="false" borderId="113" fillId="105" fontId="5" numFmtId="0" xfId="0">
      <alignment horizontal="center" vertical="center" wrapText="true"/>
    </xf>
    <xf applyAlignment="true" applyBorder="false" applyFill="true" applyFont="true" applyNumberFormat="false" applyProtection="false" borderId="113" fillId="105" fontId="5" numFmtId="0" xfId="0">
      <alignment horizontal="left" vertical="center" wrapText="true"/>
    </xf>
    <xf applyAlignment="true" applyBorder="false" applyFill="true" applyFont="true" applyNumberFormat="false" applyProtection="false" borderId="113" fillId="105" fontId="5" numFmtId="0" xfId="0">
      <alignment horizontal="center" vertical="center"/>
    </xf>
    <xf applyAlignment="true" applyBorder="false" applyFill="true" applyFont="true" applyNumberFormat="false" applyProtection="false" borderId="113" fillId="105" fontId="2" numFmtId="0" xfId="0">
      <alignment horizontal="center" vertical="center"/>
    </xf>
    <xf applyAlignment="true" applyBorder="false" applyFill="true" applyFont="true" applyNumberFormat="false" applyProtection="false" borderId="113" fillId="105" fontId="5" numFmtId="0" xfId="0">
      <alignment horizontal="center" vertical="center"/>
    </xf>
    <xf applyAlignment="true" applyBorder="false" applyFill="true" applyFont="true" applyNumberFormat="false" applyProtection="false" borderId="113" fillId="108" fontId="5" numFmtId="0" xfId="0">
      <alignment horizontal="center" vertical="center" wrapText="true"/>
    </xf>
    <xf applyAlignment="true" applyBorder="false" applyFill="true" applyFont="true" applyNumberFormat="false" applyProtection="false" borderId="113" fillId="108" fontId="5" numFmtId="0" xfId="0">
      <alignment horizontal="left" vertical="center" wrapText="true"/>
    </xf>
    <xf applyAlignment="true" applyBorder="false" applyFill="true" applyFont="true" applyNumberFormat="false" applyProtection="false" borderId="113" fillId="108" fontId="5" numFmtId="0" xfId="0">
      <alignment horizontal="center" vertical="center"/>
    </xf>
    <xf applyAlignment="true" applyBorder="false" applyFill="true" applyFont="true" applyNumberFormat="false" applyProtection="false" borderId="113" fillId="108" fontId="2" numFmtId="0" xfId="0">
      <alignment horizontal="center" vertical="center"/>
    </xf>
    <xf applyAlignment="true" applyBorder="false" applyFill="true" applyFont="true" applyNumberFormat="false" applyProtection="false" borderId="113" fillId="108" fontId="2" numFmtId="0" xfId="0">
      <alignment horizontal="center" vertical="center"/>
    </xf>
    <xf applyAlignment="true" applyBorder="false" applyFill="true" applyFont="true" applyNumberFormat="false" applyProtection="false" borderId="113" fillId="108" fontId="5" numFmtId="0" xfId="0">
      <alignment horizontal="center" vertical="center"/>
    </xf>
    <xf applyAlignment="true" applyBorder="false" applyFill="true" applyFont="true" applyNumberFormat="false" applyProtection="false" borderId="113" fillId="102" fontId="5" numFmtId="0" xfId="0">
      <alignment horizontal="center" vertical="center" wrapText="true"/>
    </xf>
    <xf applyAlignment="true" applyBorder="false" applyFill="true" applyFont="true" applyNumberFormat="false" applyProtection="false" borderId="113" fillId="102" fontId="5" numFmtId="0" xfId="0">
      <alignment horizontal="left" vertical="center" wrapText="true"/>
    </xf>
    <xf applyAlignment="true" applyBorder="false" applyFill="true" applyFont="true" applyNumberFormat="false" applyProtection="false" borderId="113" fillId="102" fontId="5" numFmtId="0" xfId="0">
      <alignment horizontal="center" vertical="center"/>
    </xf>
    <xf applyAlignment="true" applyBorder="false" applyFill="true" applyFont="true" applyNumberFormat="false" applyProtection="false" borderId="113" fillId="102" fontId="2" numFmtId="0" xfId="0">
      <alignment horizontal="center" vertical="center"/>
    </xf>
    <xf applyAlignment="true" applyBorder="false" applyFill="true" applyFont="true" applyNumberFormat="false" applyProtection="false" borderId="113" fillId="102" fontId="2" numFmtId="0" xfId="0">
      <alignment horizontal="center" vertical="center"/>
    </xf>
    <xf applyAlignment="true" applyBorder="false" applyFill="true" applyFont="true" applyNumberFormat="false" applyProtection="false" borderId="113" fillId="102" fontId="5" numFmtId="0" xfId="0">
      <alignment horizontal="center" vertical="center"/>
    </xf>
    <xf applyAlignment="true" applyBorder="false" applyFill="true" applyFont="true" applyNumberFormat="false" applyProtection="false" borderId="112" fillId="111" fontId="3" numFmtId="0" xfId="0">
      <alignment horizontal="center" vertical="center" wrapText="true"/>
    </xf>
    <xf applyAlignment="true" applyBorder="false" applyFill="true" applyFont="true" applyNumberFormat="false" applyProtection="false" borderId="112" fillId="111" fontId="3" numFmtId="0" xfId="0">
      <alignment horizontal="left" vertical="center" wrapText="true"/>
    </xf>
    <xf applyAlignment="true" applyBorder="false" applyFill="true" applyFont="true" applyNumberFormat="false" applyProtection="false" borderId="112" fillId="111" fontId="3" numFmtId="0" xfId="0">
      <alignment horizontal="center" vertical="center"/>
    </xf>
    <xf applyAlignment="true" applyBorder="false" applyFill="true" applyFont="true" applyNumberFormat="false" applyProtection="false" borderId="112" fillId="111" fontId="4" numFmtId="0" xfId="0">
      <alignment horizontal="center" vertical="center"/>
    </xf>
    <xf applyAlignment="true" applyBorder="false" applyFill="true" applyFont="true" applyNumberFormat="false" applyProtection="false" borderId="113" fillId="111" fontId="5" numFmtId="0" xfId="0">
      <alignment horizontal="center" vertical="center"/>
    </xf>
    <xf applyAlignment="true" applyBorder="false" applyFill="true" applyFont="true" applyNumberFormat="false" applyProtection="false" borderId="112" fillId="104" fontId="3" numFmtId="0" xfId="0">
      <alignment horizontal="left" vertical="center" wrapText="true"/>
    </xf>
    <xf applyAlignment="true" applyBorder="false" applyFill="true" applyFont="true" applyNumberFormat="false" applyProtection="false" borderId="113" fillId="104" fontId="5" numFmtId="0" xfId="0">
      <alignment horizontal="center" vertical="center"/>
    </xf>
    <xf applyAlignment="true" applyBorder="false" applyFill="true" applyFont="true" applyNumberFormat="false" applyProtection="false" borderId="112" fillId="108" fontId="3" numFmtId="0" xfId="0">
      <alignment horizontal="left" vertical="center" wrapText="true"/>
    </xf>
    <xf applyAlignment="true" applyBorder="false" applyFill="true" applyFont="true" applyNumberFormat="false" applyProtection="false" borderId="112" fillId="103" fontId="4" numFmtId="0" xfId="0">
      <alignment vertical="center"/>
    </xf>
    <xf applyAlignment="true" applyBorder="false" applyFill="false" applyFont="true" applyNumberFormat="false" applyProtection="false" borderId="112" fillId="0" fontId="4" numFmtId="0" xfId="0">
      <alignment vertical="center"/>
    </xf>
    <xf applyAlignment="true" applyBorder="false" applyFill="false" applyFont="true" applyNumberFormat="false" applyProtection="false" borderId="114" fillId="0" fontId="4" numFmtId="0" xfId="0">
      <alignment vertical="center"/>
    </xf>
    <xf applyAlignment="true" applyBorder="false" applyFill="false" applyFont="true" applyNumberFormat="false" applyProtection="false" borderId="114" fillId="0" fontId="4" numFmtId="0" xfId="0">
      <alignment vertical="center"/>
    </xf>
    <xf applyAlignment="true" applyBorder="false" applyFill="false" applyFont="true" applyNumberFormat="false" applyProtection="false" borderId="115" fillId="0" fontId="4" numFmtId="0" xfId="0">
      <alignment vertical="center"/>
    </xf>
    <xf applyAlignment="true" applyBorder="false" applyFill="false" applyFont="true" applyNumberFormat="false" applyProtection="false" borderId="109" fillId="0" fontId="2" numFmtId="0" xfId="0">
      <alignment vertical="center"/>
    </xf>
    <xf applyAlignment="true" applyBorder="false" applyFill="false" applyFont="true" applyNumberFormat="false" applyProtection="false" borderId="116" fillId="0" fontId="2" numFmtId="0" xfId="0">
      <alignment vertical="center"/>
    </xf>
    <xf applyAlignment="true" applyBorder="false" applyFill="false" applyFont="true" applyNumberFormat="false" applyProtection="false" borderId="112" fillId="0" fontId="2" numFmtId="0" xfId="0">
      <alignment vertical="center"/>
    </xf>
    <xf applyAlignment="true" applyBorder="false" applyFill="false" applyFont="true" applyNumberFormat="false" applyProtection="false" borderId="117" fillId="0" fontId="4" numFmtId="0" xfId="0">
      <alignment vertical="center"/>
    </xf>
    <xf applyAlignment="true" applyBorder="false" applyFill="false" applyFont="true" applyNumberFormat="false" applyProtection="false" borderId="116" fillId="0" fontId="2" numFmtId="0" xfId="0">
      <alignment vertical="center"/>
    </xf>
    <xf applyAlignment="true" applyBorder="false" applyFill="false" applyFont="true" applyNumberFormat="false" applyProtection="false" borderId="118" fillId="0" fontId="1" numFmtId="0" xfId="0">
      <alignment horizontal="center" vertical="center" wrapText="true"/>
    </xf>
    <xf applyAlignment="true" applyBorder="false" applyFill="false" applyFont="true" applyNumberFormat="false" applyProtection="false" borderId="118" fillId="0" fontId="1" numFmtId="0" xfId="0">
      <alignment horizontal="center" vertical="center" wrapText="true"/>
    </xf>
    <xf applyAlignment="true" applyBorder="false" applyFill="false" applyFont="true" applyNumberFormat="true" applyProtection="false" borderId="118" fillId="0" fontId="1" numFmtId="177" xfId="0">
      <alignment horizontal="center" vertical="center" wrapText="true"/>
    </xf>
    <xf applyAlignment="true" applyBorder="false" applyFill="false" applyFont="true" applyNumberFormat="false" applyProtection="false" borderId="119"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120" fillId="0" fontId="6" numFmtId="0" xfId="0">
      <alignment horizontal="left" vertical="center" wrapText="true"/>
    </xf>
    <xf applyAlignment="true" applyBorder="false" applyFill="true" applyFont="true" applyNumberFormat="false" applyProtection="false" borderId="121" fillId="112" fontId="3" numFmtId="0" xfId="0">
      <alignment horizontal="center" vertical="center" wrapText="true"/>
    </xf>
    <xf applyAlignment="true" applyBorder="false" applyFill="false" applyFont="true" applyNumberFormat="false" applyProtection="false" borderId="121" fillId="0" fontId="3" numFmtId="0" xfId="0">
      <alignment horizontal="center" vertical="center"/>
    </xf>
    <xf applyAlignment="true" applyBorder="false" applyFill="true" applyFont="true" applyNumberFormat="false" applyProtection="false" borderId="121" fillId="113" fontId="3" numFmtId="0" xfId="0">
      <alignment horizontal="center" vertical="center" wrapText="true"/>
    </xf>
    <xf applyAlignment="true" applyBorder="false" applyFill="true" applyFont="true" applyNumberFormat="false" applyProtection="false" borderId="121" fillId="113" fontId="3" numFmtId="0" xfId="0">
      <alignment vertical="center" wrapText="true"/>
    </xf>
    <xf applyAlignment="true" applyBorder="false" applyFill="true" applyFont="true" applyNumberFormat="false" applyProtection="false" borderId="121" fillId="113" fontId="3" numFmtId="0" xfId="0">
      <alignment horizontal="center" vertical="center"/>
    </xf>
    <xf applyAlignment="true" applyBorder="false" applyFill="true" applyFont="true" applyNumberFormat="false" applyProtection="false" borderId="121" fillId="113" fontId="4" numFmtId="0" xfId="0">
      <alignment horizontal="center" vertical="center"/>
    </xf>
    <xf applyAlignment="true" applyBorder="false" applyFill="true" applyFont="true" applyNumberFormat="false" applyProtection="false" borderId="121" fillId="113"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21" fillId="114" fontId="3" numFmtId="0" xfId="0">
      <alignment horizontal="center" vertical="center" wrapText="true"/>
    </xf>
    <xf applyAlignment="true" applyBorder="false" applyFill="true" applyFont="true" applyNumberFormat="false" applyProtection="false" borderId="121" fillId="114" fontId="3" numFmtId="0" xfId="0">
      <alignment vertical="center" wrapText="true"/>
    </xf>
    <xf applyAlignment="true" applyBorder="false" applyFill="true" applyFont="true" applyNumberFormat="false" applyProtection="false" borderId="121" fillId="114" fontId="3" numFmtId="0" xfId="0">
      <alignment horizontal="center" vertical="center"/>
    </xf>
    <xf applyAlignment="true" applyBorder="false" applyFill="true" applyFont="true" applyNumberFormat="false" applyProtection="false" borderId="121" fillId="114" fontId="4" numFmtId="0" xfId="0">
      <alignment horizontal="center" vertical="center"/>
    </xf>
    <xf applyAlignment="true" applyBorder="false" applyFill="true" applyFont="true" applyNumberFormat="false" applyProtection="false" borderId="121" fillId="114" fontId="3" numFmtId="0" xfId="0">
      <alignment horizontal="center" vertical="center"/>
    </xf>
    <xf applyAlignment="true" applyBorder="false" applyFill="true" applyFont="true" applyNumberFormat="false" applyProtection="false" borderId="121" fillId="115" fontId="3" numFmtId="0" xfId="0">
      <alignment horizontal="center" vertical="center" wrapText="true"/>
    </xf>
    <xf applyAlignment="true" applyBorder="false" applyFill="true" applyFont="true" applyNumberFormat="false" applyProtection="false" borderId="121" fillId="115" fontId="3" numFmtId="0" xfId="0">
      <alignment vertical="center" wrapText="true"/>
    </xf>
    <xf applyAlignment="true" applyBorder="false" applyFill="true" applyFont="true" applyNumberFormat="false" applyProtection="false" borderId="121" fillId="115" fontId="3" numFmtId="0" xfId="0">
      <alignment horizontal="center" vertical="center"/>
    </xf>
    <xf applyAlignment="true" applyBorder="false" applyFill="true" applyFont="true" applyNumberFormat="false" applyProtection="false" borderId="121" fillId="115" fontId="4" numFmtId="0" xfId="0">
      <alignment horizontal="center" vertical="center"/>
    </xf>
    <xf applyAlignment="true" applyBorder="false" applyFill="true" applyFont="true" applyNumberFormat="false" applyProtection="false" borderId="121" fillId="115" fontId="3" numFmtId="0" xfId="0">
      <alignment horizontal="center" vertical="center"/>
    </xf>
    <xf applyAlignment="true" applyBorder="false" applyFill="true" applyFont="true" applyNumberFormat="false" applyProtection="false" borderId="121" fillId="116" fontId="3" numFmtId="0" xfId="0">
      <alignment horizontal="center" vertical="center" wrapText="true"/>
    </xf>
    <xf applyAlignment="true" applyBorder="false" applyFill="true" applyFont="true" applyNumberFormat="false" applyProtection="false" borderId="121" fillId="116" fontId="3" numFmtId="0" xfId="0">
      <alignment horizontal="center" vertical="center"/>
    </xf>
    <xf applyAlignment="true" applyBorder="false" applyFill="true" applyFont="true" applyNumberFormat="false" applyProtection="false" borderId="121" fillId="116"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21" fillId="0" fontId="3" numFmtId="0" xfId="0">
      <alignment horizontal="center" vertical="center" wrapText="true"/>
    </xf>
    <xf applyAlignment="true" applyBorder="false" applyFill="false" applyFont="true" applyNumberFormat="false" applyProtection="false" borderId="121" fillId="0" fontId="4" numFmtId="0" xfId="0">
      <alignment horizontal="center" vertical="center" wrapText="true"/>
    </xf>
    <xf applyAlignment="true" applyBorder="false" applyFill="false" applyFont="true" applyNumberFormat="false" applyProtection="false" borderId="121" fillId="0" fontId="3" numFmtId="0" xfId="0">
      <alignment horizontal="center" vertical="center"/>
    </xf>
    <xf applyAlignment="true" applyBorder="false" applyFill="false" applyFont="true" applyNumberFormat="false" applyProtection="false" borderId="121" fillId="0" fontId="4" numFmtId="0" xfId="0">
      <alignment horizontal="center" vertical="center"/>
    </xf>
    <xf applyAlignment="true" applyBorder="false" applyFill="false" applyFont="true" applyNumberFormat="false" applyProtection="false" borderId="121"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21" fillId="117" fontId="3" numFmtId="0" xfId="0">
      <alignment horizontal="center" vertical="center" wrapText="true"/>
    </xf>
    <xf applyAlignment="true" applyBorder="false" applyFill="true" applyFont="true" applyNumberFormat="false" applyProtection="false" borderId="121" fillId="117" fontId="3" numFmtId="0" xfId="0">
      <alignment vertical="center" wrapText="true"/>
    </xf>
    <xf applyAlignment="true" applyBorder="false" applyFill="true" applyFont="true" applyNumberFormat="false" applyProtection="false" borderId="121" fillId="117" fontId="3" numFmtId="0" xfId="0">
      <alignment horizontal="center" vertical="center"/>
    </xf>
    <xf applyAlignment="true" applyBorder="false" applyFill="true" applyFont="true" applyNumberFormat="false" applyProtection="false" borderId="121" fillId="117" fontId="4" numFmtId="0" xfId="0">
      <alignment horizontal="center" vertical="center"/>
    </xf>
    <xf applyAlignment="true" applyBorder="false" applyFill="true" applyFont="true" applyNumberFormat="false" applyProtection="false" borderId="121" fillId="117" fontId="3" numFmtId="0" xfId="0">
      <alignment horizontal="center" vertical="center"/>
    </xf>
    <xf applyAlignment="true" applyBorder="false" applyFill="true" applyFont="true" applyNumberFormat="false" applyProtection="false" borderId="121" fillId="118" fontId="3" numFmtId="0" xfId="0">
      <alignment horizontal="center" vertical="center" wrapText="true"/>
    </xf>
    <xf applyAlignment="true" applyBorder="false" applyFill="true" applyFont="true" applyNumberFormat="false" applyProtection="false" borderId="121" fillId="118" fontId="3" numFmtId="0" xfId="0">
      <alignment vertical="center" wrapText="true"/>
    </xf>
    <xf applyAlignment="true" applyBorder="false" applyFill="true" applyFont="true" applyNumberFormat="false" applyProtection="false" borderId="121" fillId="118" fontId="3" numFmtId="0" xfId="0">
      <alignment horizontal="center" vertical="center"/>
    </xf>
    <xf applyAlignment="true" applyBorder="false" applyFill="true" applyFont="true" applyNumberFormat="false" applyProtection="false" borderId="121" fillId="118" fontId="4" numFmtId="0" xfId="0">
      <alignment horizontal="center" vertical="center"/>
    </xf>
    <xf applyAlignment="true" applyBorder="false" applyFill="true" applyFont="true" applyNumberFormat="false" applyProtection="false" borderId="121" fillId="118" fontId="3" numFmtId="0" xfId="0">
      <alignment horizontal="center" vertical="center"/>
    </xf>
    <xf applyAlignment="true" applyBorder="false" applyFill="true" applyFont="true" applyNumberFormat="false" applyProtection="false" borderId="121" fillId="119" fontId="5" numFmtId="0" xfId="0">
      <alignment horizontal="center" vertical="center"/>
    </xf>
    <xf applyAlignment="true" applyBorder="false" applyFill="true" applyFont="true" applyNumberFormat="false" applyProtection="false" borderId="121" fillId="119" fontId="3" numFmtId="0" xfId="0">
      <alignment vertical="center" wrapText="true"/>
    </xf>
    <xf applyAlignment="true" applyBorder="false" applyFill="true" applyFont="true" applyNumberFormat="false" applyProtection="false" borderId="121" fillId="119" fontId="3" numFmtId="0" xfId="0">
      <alignment horizontal="center" vertical="center"/>
    </xf>
    <xf applyAlignment="true" applyBorder="false" applyFill="true" applyFont="true" applyNumberFormat="false" applyProtection="false" borderId="121" fillId="119" fontId="4" numFmtId="0" xfId="0">
      <alignment horizontal="center" vertical="center"/>
    </xf>
    <xf applyAlignment="true" applyBorder="false" applyFill="true" applyFont="true" applyNumberFormat="false" applyProtection="false" borderId="121" fillId="119" fontId="3" numFmtId="0" xfId="0">
      <alignment horizontal="center" vertical="center"/>
    </xf>
    <xf applyAlignment="true" applyBorder="false" applyFill="true" applyFont="true" applyNumberFormat="false" applyProtection="false" borderId="121" fillId="120" fontId="5" numFmtId="0" xfId="0">
      <alignment horizontal="center" vertical="center"/>
    </xf>
    <xf applyAlignment="true" applyBorder="false" applyFill="true" applyFont="true" applyNumberFormat="false" applyProtection="false" borderId="121" fillId="120" fontId="3" numFmtId="0" xfId="0">
      <alignment vertical="center" wrapText="true"/>
    </xf>
    <xf applyAlignment="true" applyBorder="false" applyFill="true" applyFont="true" applyNumberFormat="false" applyProtection="false" borderId="121" fillId="120" fontId="3" numFmtId="0" xfId="0">
      <alignment horizontal="center" vertical="center"/>
    </xf>
    <xf applyAlignment="true" applyBorder="false" applyFill="true" applyFont="true" applyNumberFormat="false" applyProtection="false" borderId="121" fillId="120" fontId="4" numFmtId="0" xfId="0">
      <alignment horizontal="center" vertical="center"/>
    </xf>
    <xf applyAlignment="true" applyBorder="false" applyFill="true" applyFont="true" applyNumberFormat="false" applyProtection="false" borderId="121" fillId="120" fontId="3" numFmtId="0" xfId="0">
      <alignment horizontal="center" vertical="center"/>
    </xf>
    <xf applyAlignment="true" applyBorder="false" applyFill="true" applyFont="true" applyNumberFormat="false" applyProtection="false" borderId="121" fillId="112" fontId="3" numFmtId="0" xfId="0">
      <alignment horizontal="left" vertical="center" wrapText="true"/>
    </xf>
    <xf applyAlignment="true" applyBorder="false" applyFill="true" applyFont="true" applyNumberFormat="false" applyProtection="false" borderId="121" fillId="112" fontId="3" numFmtId="0" xfId="0">
      <alignment horizontal="center" vertical="center"/>
    </xf>
    <xf applyAlignment="true" applyBorder="false" applyFill="true" applyFont="true" applyNumberFormat="false" applyProtection="false" borderId="121" fillId="112" fontId="4" numFmtId="0" xfId="0">
      <alignment horizontal="center" vertical="center"/>
    </xf>
    <xf applyAlignment="true" applyBorder="false" applyFill="true" applyFont="true" applyNumberFormat="false" applyProtection="false" borderId="121" fillId="112" fontId="3" numFmtId="0" xfId="0">
      <alignment horizontal="center" vertical="center"/>
    </xf>
    <xf applyAlignment="true" applyBorder="false" applyFill="true" applyFont="true" applyNumberFormat="false" applyProtection="false" borderId="121" fillId="121" fontId="3" numFmtId="0" xfId="0">
      <alignment horizontal="center" vertical="center" wrapText="true"/>
    </xf>
    <xf applyAlignment="true" applyBorder="false" applyFill="true" applyFont="true" applyNumberFormat="false" applyProtection="false" borderId="121" fillId="121" fontId="3" numFmtId="0" xfId="0">
      <alignment horizontal="left" vertical="center" wrapText="true"/>
    </xf>
    <xf applyAlignment="true" applyBorder="false" applyFill="true" applyFont="true" applyNumberFormat="false" applyProtection="false" borderId="121" fillId="121" fontId="3" numFmtId="0" xfId="0">
      <alignment horizontal="center" vertical="center"/>
    </xf>
    <xf applyAlignment="true" applyBorder="false" applyFill="true" applyFont="true" applyNumberFormat="false" applyProtection="false" borderId="121" fillId="121" fontId="4" numFmtId="0" xfId="0">
      <alignment horizontal="center" vertical="center"/>
    </xf>
    <xf applyAlignment="true" applyBorder="false" applyFill="true" applyFont="true" applyNumberFormat="false" applyProtection="false" borderId="122" fillId="121" fontId="5" numFmtId="0" xfId="0">
      <alignment horizontal="center" vertical="center"/>
    </xf>
    <xf applyAlignment="true" applyBorder="false" applyFill="true" applyFont="true" applyNumberFormat="false" applyProtection="false" borderId="121" fillId="121" fontId="4" numFmtId="0" xfId="0">
      <alignment horizontal="center" vertical="center"/>
    </xf>
    <xf applyAlignment="true" applyBorder="false" applyFill="false" applyFont="true" applyNumberFormat="false" applyProtection="false" borderId="122" fillId="0" fontId="2" numFmtId="0" xfId="0">
      <alignment horizontal="center" vertical="center" wrapText="true"/>
    </xf>
    <xf applyAlignment="true" applyBorder="false" applyFill="false" applyFont="true" applyNumberFormat="false" applyProtection="false" borderId="122" fillId="0" fontId="5" numFmtId="0" xfId="0">
      <alignment horizontal="center" vertical="center"/>
    </xf>
    <xf applyAlignment="true" applyBorder="false" applyFill="false" applyFont="true" applyNumberFormat="false" applyProtection="false" borderId="122" fillId="0" fontId="2" numFmtId="0" xfId="0">
      <alignment horizontal="center" vertical="center"/>
    </xf>
    <xf applyAlignment="true" applyBorder="false" applyFill="false" applyFont="true" applyNumberFormat="false" applyProtection="false" borderId="122" fillId="0" fontId="2" numFmtId="0" xfId="0">
      <alignment vertical="center"/>
    </xf>
    <xf applyAlignment="true" applyBorder="false" applyFill="true" applyFont="true" applyNumberFormat="false" applyProtection="false" borderId="121" fillId="120" fontId="4" numFmtId="0" xfId="0">
      <alignment horizontal="center" vertical="center"/>
    </xf>
    <xf applyAlignment="true" applyBorder="false" applyFill="true" applyFont="true" applyNumberFormat="false" applyProtection="false" borderId="122" fillId="119" fontId="2" numFmtId="0" xfId="0">
      <alignment horizontal="center" vertical="center" wrapText="true"/>
    </xf>
    <xf applyAlignment="true" applyBorder="false" applyFill="true" applyFont="true" applyNumberFormat="false" applyProtection="false" borderId="122" fillId="119" fontId="5" numFmtId="0" xfId="0">
      <alignment horizontal="center" vertical="center"/>
    </xf>
    <xf applyAlignment="true" applyBorder="false" applyFill="true" applyFont="true" applyNumberFormat="false" applyProtection="false" borderId="122" fillId="119" fontId="2" numFmtId="0" xfId="0">
      <alignment horizontal="center" vertical="center"/>
    </xf>
    <xf applyAlignment="true" applyBorder="false" applyFill="true" applyFont="true" applyNumberFormat="false" applyProtection="false" borderId="122" fillId="119" fontId="5" numFmtId="0" xfId="0">
      <alignment horizontal="center" vertical="center"/>
    </xf>
    <xf applyAlignment="true" applyBorder="false" applyFill="true" applyFont="true" applyNumberFormat="false" applyProtection="false" borderId="121" fillId="116" fontId="4" numFmtId="0" xfId="0">
      <alignment vertical="center"/>
    </xf>
    <xf applyAlignment="true" applyBorder="false" applyFill="true" applyFont="true" applyNumberFormat="false" applyProtection="false" borderId="121" fillId="118" fontId="3" numFmtId="0" xfId="0">
      <alignment horizontal="left" vertical="center" wrapText="true"/>
    </xf>
    <xf applyAlignment="true" applyBorder="false" applyFill="true" applyFont="true" applyNumberFormat="false" applyProtection="false" borderId="122" fillId="118" fontId="5" numFmtId="0" xfId="0">
      <alignment horizontal="center" vertical="center"/>
    </xf>
    <xf applyAlignment="true" applyBorder="false" applyFill="true" applyFont="true" applyNumberFormat="false" applyProtection="false" borderId="122" fillId="112"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22" fillId="118" fontId="5" numFmtId="0" xfId="0">
      <alignment horizontal="center" vertical="center" wrapText="true"/>
    </xf>
    <xf applyAlignment="true" applyBorder="false" applyFill="true" applyFont="true" applyNumberFormat="false" applyProtection="false" borderId="122" fillId="118" fontId="5" numFmtId="0" xfId="0">
      <alignment horizontal="left" vertical="center" wrapText="true"/>
    </xf>
    <xf applyAlignment="true" applyBorder="false" applyFill="true" applyFont="true" applyNumberFormat="false" applyProtection="false" borderId="122" fillId="118" fontId="5" numFmtId="0" xfId="0">
      <alignment horizontal="center" vertical="center"/>
    </xf>
    <xf applyAlignment="true" applyBorder="false" applyFill="true" applyFont="true" applyNumberFormat="false" applyProtection="false" borderId="122" fillId="118" fontId="2" numFmtId="0" xfId="0">
      <alignment horizontal="center" vertical="center"/>
    </xf>
    <xf applyAlignment="true" applyBorder="false" applyFill="true" applyFont="true" applyNumberFormat="false" applyProtection="false" borderId="122" fillId="117" fontId="5" numFmtId="0" xfId="0">
      <alignment horizontal="center" vertical="center" wrapText="true"/>
    </xf>
    <xf applyAlignment="true" applyBorder="false" applyFill="true" applyFont="true" applyNumberFormat="false" applyProtection="false" borderId="122" fillId="117" fontId="5" numFmtId="0" xfId="0">
      <alignment horizontal="left" vertical="center" wrapText="true"/>
    </xf>
    <xf applyAlignment="true" applyBorder="false" applyFill="true" applyFont="true" applyNumberFormat="false" applyProtection="false" borderId="122" fillId="117" fontId="5" numFmtId="0" xfId="0">
      <alignment horizontal="center" vertical="center"/>
    </xf>
    <xf applyAlignment="true" applyBorder="false" applyFill="true" applyFont="true" applyNumberFormat="false" applyProtection="false" borderId="122" fillId="117" fontId="2" numFmtId="0" xfId="0">
      <alignment horizontal="center" vertical="center"/>
    </xf>
    <xf applyAlignment="true" applyBorder="false" applyFill="true" applyFont="true" applyNumberFormat="false" applyProtection="false" borderId="122" fillId="117" fontId="5" numFmtId="0" xfId="0">
      <alignment horizontal="center" vertical="center"/>
    </xf>
    <xf applyAlignment="true" applyBorder="false" applyFill="true" applyFont="true" applyNumberFormat="false" applyProtection="false" borderId="121" fillId="119" fontId="3" numFmtId="0" xfId="0">
      <alignment horizontal="center" vertical="center" wrapText="true"/>
    </xf>
    <xf applyAlignment="true" applyBorder="false" applyFill="true" applyFont="true" applyNumberFormat="false" applyProtection="false" borderId="121" fillId="119" fontId="3" numFmtId="0" xfId="0">
      <alignment horizontal="left" vertical="center" wrapText="true"/>
    </xf>
    <xf applyAlignment="true" applyBorder="false" applyFill="true" applyFont="true" applyNumberFormat="false" applyProtection="false" borderId="121" fillId="116" fontId="4" numFmtId="0" xfId="0">
      <alignment vertical="center"/>
    </xf>
    <xf applyAlignment="true" applyBorder="false" applyFill="false" applyFont="true" applyNumberFormat="false" applyProtection="false" borderId="121" fillId="0" fontId="4" numFmtId="0" xfId="0">
      <alignment vertical="center"/>
    </xf>
    <xf applyAlignment="true" applyBorder="false" applyFill="false" applyFont="true" applyNumberFormat="false" applyProtection="false" borderId="123" fillId="0" fontId="4" numFmtId="0" xfId="0">
      <alignment vertical="center"/>
    </xf>
    <xf applyAlignment="true" applyBorder="false" applyFill="false" applyFont="true" applyNumberFormat="false" applyProtection="false" borderId="123" fillId="0" fontId="4" numFmtId="0" xfId="0">
      <alignment vertical="center"/>
    </xf>
    <xf applyAlignment="true" applyBorder="false" applyFill="false" applyFont="true" applyNumberFormat="false" applyProtection="false" borderId="124" fillId="0" fontId="4" numFmtId="0" xfId="0">
      <alignment vertical="center"/>
    </xf>
    <xf applyAlignment="true" applyBorder="false" applyFill="false" applyFont="true" applyNumberFormat="false" applyProtection="false" borderId="118" fillId="0" fontId="2" numFmtId="0" xfId="0">
      <alignment vertical="center"/>
    </xf>
    <xf applyAlignment="true" applyBorder="false" applyFill="false" applyFont="true" applyNumberFormat="false" applyProtection="false" borderId="125" fillId="0" fontId="2" numFmtId="0" xfId="0">
      <alignment vertical="center"/>
    </xf>
    <xf applyAlignment="true" applyBorder="false" applyFill="false" applyFont="true" applyNumberFormat="false" applyProtection="false" borderId="121" fillId="0" fontId="2" numFmtId="0" xfId="0">
      <alignment vertical="center"/>
    </xf>
    <xf applyAlignment="true" applyBorder="false" applyFill="false" applyFont="true" applyNumberFormat="false" applyProtection="false" borderId="126" fillId="0" fontId="4"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27" fillId="0" fontId="1" numFmtId="0" xfId="0">
      <alignment horizontal="center" vertical="center" wrapText="true"/>
    </xf>
    <xf applyAlignment="true" applyBorder="false" applyFill="false" applyFont="true" applyNumberFormat="false" applyProtection="false" borderId="127" fillId="0" fontId="1" numFmtId="0" xfId="0">
      <alignment horizontal="center" vertical="center" wrapText="true"/>
    </xf>
    <xf applyAlignment="true" applyBorder="false" applyFill="false" applyFont="true" applyNumberFormat="true" applyProtection="false" borderId="127" fillId="0" fontId="1" numFmtId="178" xfId="0">
      <alignment horizontal="center" vertical="center" wrapText="true"/>
    </xf>
    <xf applyAlignment="true" applyBorder="false" applyFill="false" applyFont="true" applyNumberFormat="false" applyProtection="false" borderId="128"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129" fillId="0" fontId="6" numFmtId="0" xfId="0">
      <alignment horizontal="left" vertical="center" wrapText="true"/>
    </xf>
    <xf applyAlignment="true" applyBorder="false" applyFill="true" applyFont="true" applyNumberFormat="false" applyProtection="false" borderId="130" fillId="122" fontId="3" numFmtId="0" xfId="0">
      <alignment horizontal="center" vertical="center" wrapText="true"/>
    </xf>
    <xf applyAlignment="true" applyBorder="false" applyFill="false" applyFont="true" applyNumberFormat="false" applyProtection="false" borderId="130" fillId="0" fontId="3" numFmtId="0" xfId="0">
      <alignment horizontal="center" vertical="center"/>
    </xf>
    <xf applyAlignment="true" applyBorder="false" applyFill="true" applyFont="true" applyNumberFormat="false" applyProtection="false" borderId="130" fillId="123" fontId="3" numFmtId="0" xfId="0">
      <alignment horizontal="center" vertical="center" wrapText="true"/>
    </xf>
    <xf applyAlignment="true" applyBorder="false" applyFill="true" applyFont="true" applyNumberFormat="false" applyProtection="false" borderId="130" fillId="123" fontId="3" numFmtId="0" xfId="0">
      <alignment vertical="center" wrapText="true"/>
    </xf>
    <xf applyAlignment="true" applyBorder="false" applyFill="true" applyFont="true" applyNumberFormat="false" applyProtection="false" borderId="130" fillId="123" fontId="3" numFmtId="0" xfId="0">
      <alignment horizontal="center" vertical="center"/>
    </xf>
    <xf applyAlignment="true" applyBorder="false" applyFill="true" applyFont="true" applyNumberFormat="false" applyProtection="false" borderId="130" fillId="123" fontId="4" numFmtId="0" xfId="0">
      <alignment horizontal="center" vertical="center"/>
    </xf>
    <xf applyAlignment="true" applyBorder="false" applyFill="true" applyFont="true" applyNumberFormat="false" applyProtection="false" borderId="130" fillId="123"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30" fillId="124" fontId="3" numFmtId="0" xfId="0">
      <alignment horizontal="center" vertical="center" wrapText="true"/>
    </xf>
    <xf applyAlignment="true" applyBorder="false" applyFill="true" applyFont="true" applyNumberFormat="false" applyProtection="false" borderId="130" fillId="124" fontId="3" numFmtId="0" xfId="0">
      <alignment vertical="center" wrapText="true"/>
    </xf>
    <xf applyAlignment="true" applyBorder="false" applyFill="true" applyFont="true" applyNumberFormat="false" applyProtection="false" borderId="130" fillId="124" fontId="3" numFmtId="0" xfId="0">
      <alignment horizontal="center" vertical="center"/>
    </xf>
    <xf applyAlignment="true" applyBorder="false" applyFill="true" applyFont="true" applyNumberFormat="false" applyProtection="false" borderId="130" fillId="124" fontId="4" numFmtId="0" xfId="0">
      <alignment horizontal="center" vertical="center"/>
    </xf>
    <xf applyAlignment="true" applyBorder="false" applyFill="true" applyFont="true" applyNumberFormat="false" applyProtection="false" borderId="130" fillId="124" fontId="3" numFmtId="0" xfId="0">
      <alignment horizontal="center" vertical="center"/>
    </xf>
    <xf applyAlignment="true" applyBorder="false" applyFill="true" applyFont="true" applyNumberFormat="false" applyProtection="false" borderId="130" fillId="125" fontId="3" numFmtId="0" xfId="0">
      <alignment horizontal="center" vertical="center" wrapText="true"/>
    </xf>
    <xf applyAlignment="true" applyBorder="false" applyFill="true" applyFont="true" applyNumberFormat="false" applyProtection="false" borderId="130" fillId="125" fontId="3" numFmtId="0" xfId="0">
      <alignment vertical="center" wrapText="true"/>
    </xf>
    <xf applyAlignment="true" applyBorder="false" applyFill="true" applyFont="true" applyNumberFormat="false" applyProtection="false" borderId="130" fillId="125" fontId="3" numFmtId="0" xfId="0">
      <alignment horizontal="center" vertical="center"/>
    </xf>
    <xf applyAlignment="true" applyBorder="false" applyFill="true" applyFont="true" applyNumberFormat="false" applyProtection="false" borderId="130" fillId="125" fontId="4" numFmtId="0" xfId="0">
      <alignment horizontal="center" vertical="center"/>
    </xf>
    <xf applyAlignment="true" applyBorder="false" applyFill="true" applyFont="true" applyNumberFormat="false" applyProtection="false" borderId="130" fillId="125" fontId="3" numFmtId="0" xfId="0">
      <alignment horizontal="center" vertical="center"/>
    </xf>
    <xf applyAlignment="true" applyBorder="false" applyFill="true" applyFont="true" applyNumberFormat="false" applyProtection="false" borderId="130" fillId="126" fontId="3" numFmtId="0" xfId="0">
      <alignment horizontal="center" vertical="center" wrapText="true"/>
    </xf>
    <xf applyAlignment="true" applyBorder="false" applyFill="true" applyFont="true" applyNumberFormat="false" applyProtection="false" borderId="130" fillId="126" fontId="3" numFmtId="0" xfId="0">
      <alignment horizontal="center" vertical="center"/>
    </xf>
    <xf applyAlignment="true" applyBorder="false" applyFill="true" applyFont="true" applyNumberFormat="false" applyProtection="false" borderId="130" fillId="126"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30"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30" fillId="0" fontId="4" numFmtId="0" xfId="0">
      <alignment horizontal="center" vertical="center" wrapText="true"/>
    </xf>
    <xf applyAlignment="true" applyBorder="false" applyFill="false" applyFont="true" applyNumberFormat="false" applyProtection="false" borderId="130" fillId="0" fontId="3" numFmtId="0" xfId="0">
      <alignment horizontal="center" vertical="center"/>
    </xf>
    <xf applyAlignment="true" applyBorder="false" applyFill="false" applyFont="true" applyNumberFormat="false" applyProtection="false" borderId="130" fillId="0" fontId="4" numFmtId="0" xfId="0">
      <alignment horizontal="center" vertical="center"/>
    </xf>
    <xf applyAlignment="true" applyBorder="false" applyFill="false" applyFont="true" applyNumberFormat="false" applyProtection="false" borderId="13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30" fillId="127" fontId="3" numFmtId="0" xfId="0">
      <alignment horizontal="center" vertical="center" wrapText="true"/>
    </xf>
    <xf applyAlignment="true" applyBorder="false" applyFill="true" applyFont="true" applyNumberFormat="false" applyProtection="false" borderId="130" fillId="127" fontId="3" numFmtId="0" xfId="0">
      <alignment vertical="center" wrapText="true"/>
    </xf>
    <xf applyAlignment="true" applyBorder="false" applyFill="true" applyFont="true" applyNumberFormat="false" applyProtection="false" borderId="130" fillId="127" fontId="3" numFmtId="0" xfId="0">
      <alignment horizontal="center" vertical="center"/>
    </xf>
    <xf applyAlignment="true" applyBorder="false" applyFill="true" applyFont="true" applyNumberFormat="false" applyProtection="false" borderId="130" fillId="127" fontId="4" numFmtId="0" xfId="0">
      <alignment horizontal="center" vertical="center"/>
    </xf>
    <xf applyAlignment="true" applyBorder="false" applyFill="true" applyFont="true" applyNumberFormat="false" applyProtection="false" borderId="130" fillId="127" fontId="3" numFmtId="0" xfId="0">
      <alignment horizontal="center" vertical="center"/>
    </xf>
    <xf applyAlignment="true" applyBorder="false" applyFill="true" applyFont="true" applyNumberFormat="false" applyProtection="false" borderId="130" fillId="128" fontId="3" numFmtId="0" xfId="0">
      <alignment horizontal="center" vertical="center" wrapText="true"/>
    </xf>
    <xf applyAlignment="true" applyBorder="false" applyFill="true" applyFont="true" applyNumberFormat="false" applyProtection="false" borderId="130" fillId="128" fontId="3" numFmtId="0" xfId="0">
      <alignment vertical="center" wrapText="true"/>
    </xf>
    <xf applyAlignment="true" applyBorder="false" applyFill="true" applyFont="true" applyNumberFormat="false" applyProtection="false" borderId="130" fillId="128" fontId="3" numFmtId="0" xfId="0">
      <alignment horizontal="center" vertical="center"/>
    </xf>
    <xf applyAlignment="true" applyBorder="false" applyFill="true" applyFont="true" applyNumberFormat="false" applyProtection="false" borderId="130" fillId="128" fontId="4" numFmtId="0" xfId="0">
      <alignment horizontal="center" vertical="center"/>
    </xf>
    <xf applyAlignment="true" applyBorder="false" applyFill="true" applyFont="true" applyNumberFormat="false" applyProtection="false" borderId="130" fillId="128" fontId="3" numFmtId="0" xfId="0">
      <alignment horizontal="center" vertical="center"/>
    </xf>
    <xf applyAlignment="true" applyBorder="false" applyFill="true" applyFont="true" applyNumberFormat="false" applyProtection="false" borderId="130" fillId="129" fontId="5" numFmtId="0" xfId="0">
      <alignment horizontal="center" vertical="center"/>
    </xf>
    <xf applyAlignment="true" applyBorder="false" applyFill="true" applyFont="true" applyNumberFormat="false" applyProtection="false" borderId="130" fillId="129" fontId="3" numFmtId="0" xfId="0">
      <alignment vertical="center" wrapText="true"/>
    </xf>
    <xf applyAlignment="true" applyBorder="false" applyFill="true" applyFont="true" applyNumberFormat="false" applyProtection="false" borderId="130" fillId="129" fontId="3" numFmtId="0" xfId="0">
      <alignment horizontal="center" vertical="center"/>
    </xf>
    <xf applyAlignment="true" applyBorder="false" applyFill="true" applyFont="true" applyNumberFormat="false" applyProtection="false" borderId="130" fillId="129" fontId="4" numFmtId="0" xfId="0">
      <alignment horizontal="center" vertical="center"/>
    </xf>
    <xf applyAlignment="true" applyBorder="false" applyFill="true" applyFont="true" applyNumberFormat="false" applyProtection="false" borderId="130" fillId="129" fontId="3" numFmtId="0" xfId="0">
      <alignment horizontal="center" vertical="center"/>
    </xf>
    <xf applyAlignment="true" applyBorder="false" applyFill="true" applyFont="true" applyNumberFormat="false" applyProtection="false" borderId="130" fillId="122" fontId="3" numFmtId="0" xfId="0">
      <alignment horizontal="left" vertical="center" wrapText="true"/>
    </xf>
    <xf applyAlignment="true" applyBorder="false" applyFill="true" applyFont="true" applyNumberFormat="false" applyProtection="false" borderId="130" fillId="122" fontId="3" numFmtId="0" xfId="0">
      <alignment horizontal="center" vertical="center"/>
    </xf>
    <xf applyAlignment="true" applyBorder="false" applyFill="true" applyFont="true" applyNumberFormat="false" applyProtection="false" borderId="130" fillId="122" fontId="4" numFmtId="0" xfId="0">
      <alignment horizontal="center" vertical="center"/>
    </xf>
    <xf applyAlignment="true" applyBorder="false" applyFill="true" applyFont="true" applyNumberFormat="false" applyProtection="false" borderId="130" fillId="122" fontId="3" numFmtId="0" xfId="0">
      <alignment horizontal="center" vertical="center"/>
    </xf>
    <xf applyAlignment="true" applyBorder="false" applyFill="true" applyFont="true" applyNumberFormat="false" applyProtection="false" borderId="130" fillId="130" fontId="3" numFmtId="0" xfId="0">
      <alignment horizontal="center" vertical="center" wrapText="true"/>
    </xf>
    <xf applyAlignment="true" applyBorder="false" applyFill="true" applyFont="true" applyNumberFormat="false" applyProtection="false" borderId="130" fillId="130" fontId="3" numFmtId="0" xfId="0">
      <alignment horizontal="left" vertical="center" wrapText="true"/>
    </xf>
    <xf applyAlignment="true" applyBorder="false" applyFill="true" applyFont="true" applyNumberFormat="false" applyProtection="false" borderId="130" fillId="130" fontId="3" numFmtId="0" xfId="0">
      <alignment horizontal="center" vertical="center"/>
    </xf>
    <xf applyAlignment="true" applyBorder="false" applyFill="true" applyFont="true" applyNumberFormat="false" applyProtection="false" borderId="130" fillId="130" fontId="4" numFmtId="0" xfId="0">
      <alignment horizontal="center" vertical="center"/>
    </xf>
    <xf applyAlignment="true" applyBorder="false" applyFill="true" applyFont="true" applyNumberFormat="false" applyProtection="false" borderId="131" fillId="130" fontId="5" numFmtId="0" xfId="0">
      <alignment horizontal="center" vertical="center"/>
    </xf>
    <xf applyAlignment="true" applyBorder="false" applyFill="true" applyFont="true" applyNumberFormat="false" applyProtection="false" borderId="130" fillId="130" fontId="4" numFmtId="0" xfId="0">
      <alignment horizontal="center" vertical="center"/>
    </xf>
    <xf applyAlignment="true" applyBorder="false" applyFill="false" applyFont="true" applyNumberFormat="false" applyProtection="false" borderId="131" fillId="0" fontId="2" numFmtId="0" xfId="0">
      <alignment horizontal="center" vertical="center" wrapText="true"/>
    </xf>
    <xf applyAlignment="true" applyBorder="false" applyFill="false" applyFont="true" applyNumberFormat="false" applyProtection="false" borderId="131" fillId="0" fontId="5" numFmtId="0" xfId="0">
      <alignment horizontal="center" vertical="center"/>
    </xf>
    <xf applyAlignment="true" applyBorder="false" applyFill="false" applyFont="true" applyNumberFormat="false" applyProtection="false" borderId="131" fillId="0" fontId="2" numFmtId="0" xfId="0">
      <alignment horizontal="center" vertical="center"/>
    </xf>
    <xf applyAlignment="true" applyBorder="false" applyFill="false" applyFont="true" applyNumberFormat="false" applyProtection="false" borderId="131" fillId="0" fontId="2" numFmtId="0" xfId="0">
      <alignment vertical="center"/>
    </xf>
    <xf applyAlignment="true" applyBorder="false" applyFill="true" applyFont="true" applyNumberFormat="false" applyProtection="false" borderId="131" fillId="129" fontId="5" numFmtId="0" xfId="0">
      <alignment horizontal="center" vertical="center"/>
    </xf>
    <xf applyAlignment="true" applyBorder="false" applyFill="true" applyFont="true" applyNumberFormat="false" applyProtection="false" borderId="131" fillId="129" fontId="2" numFmtId="0" xfId="0">
      <alignment horizontal="center" vertical="center"/>
    </xf>
    <xf applyAlignment="true" applyBorder="false" applyFill="true" applyFont="true" applyNumberFormat="false" applyProtection="false" borderId="131" fillId="129" fontId="5" numFmtId="0" xfId="0">
      <alignment horizontal="center" vertical="center"/>
    </xf>
    <xf applyAlignment="true" applyBorder="false" applyFill="true" applyFont="true" applyNumberFormat="false" applyProtection="false" borderId="130" fillId="126" fontId="4" numFmtId="0" xfId="0">
      <alignment vertical="center"/>
    </xf>
    <xf applyAlignment="true" applyBorder="false" applyFill="true" applyFont="true" applyNumberFormat="false" applyProtection="false" borderId="130" fillId="128" fontId="3" numFmtId="0" xfId="0">
      <alignment horizontal="left" vertical="center" wrapText="true"/>
    </xf>
    <xf applyAlignment="true" applyBorder="false" applyFill="true" applyFont="true" applyNumberFormat="false" applyProtection="false" borderId="131" fillId="128" fontId="5" numFmtId="0" xfId="0">
      <alignment horizontal="center" vertical="center"/>
    </xf>
    <xf applyAlignment="true" applyBorder="false" applyFill="true" applyFont="true" applyNumberFormat="false" applyProtection="false" borderId="131" fillId="122"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31" fillId="128" fontId="5" numFmtId="0" xfId="0">
      <alignment horizontal="center" vertical="center" wrapText="true"/>
    </xf>
    <xf applyAlignment="true" applyBorder="false" applyFill="true" applyFont="true" applyNumberFormat="false" applyProtection="false" borderId="131" fillId="128" fontId="5" numFmtId="0" xfId="0">
      <alignment horizontal="left" vertical="center" wrapText="true"/>
    </xf>
    <xf applyAlignment="true" applyBorder="false" applyFill="true" applyFont="true" applyNumberFormat="false" applyProtection="false" borderId="131" fillId="128" fontId="5" numFmtId="0" xfId="0">
      <alignment horizontal="center" vertical="center"/>
    </xf>
    <xf applyAlignment="true" applyBorder="false" applyFill="true" applyFont="true" applyNumberFormat="false" applyProtection="false" borderId="131" fillId="128" fontId="2" numFmtId="0" xfId="0">
      <alignment horizontal="center" vertical="center"/>
    </xf>
    <xf applyAlignment="true" applyBorder="false" applyFill="true" applyFont="true" applyNumberFormat="false" applyProtection="false" borderId="131" fillId="127" fontId="5" numFmtId="0" xfId="0">
      <alignment horizontal="center" vertical="center" wrapText="true"/>
    </xf>
    <xf applyAlignment="true" applyBorder="false" applyFill="true" applyFont="true" applyNumberFormat="false" applyProtection="false" borderId="131" fillId="127" fontId="5" numFmtId="0" xfId="0">
      <alignment horizontal="left" vertical="center" wrapText="true"/>
    </xf>
    <xf applyAlignment="true" applyBorder="false" applyFill="true" applyFont="true" applyNumberFormat="false" applyProtection="false" borderId="131" fillId="127" fontId="5" numFmtId="0" xfId="0">
      <alignment horizontal="center" vertical="center"/>
    </xf>
    <xf applyAlignment="true" applyBorder="false" applyFill="true" applyFont="true" applyNumberFormat="false" applyProtection="false" borderId="131" fillId="127" fontId="2" numFmtId="0" xfId="0">
      <alignment horizontal="center" vertical="center"/>
    </xf>
    <xf applyAlignment="true" applyBorder="false" applyFill="true" applyFont="true" applyNumberFormat="false" applyProtection="false" borderId="131" fillId="127" fontId="5" numFmtId="0" xfId="0">
      <alignment horizontal="center" vertical="center"/>
    </xf>
    <xf applyAlignment="true" applyBorder="false" applyFill="true" applyFont="true" applyNumberFormat="false" applyProtection="false" borderId="130" fillId="131" fontId="3" numFmtId="0" xfId="0">
      <alignment horizontal="center" vertical="center" wrapText="true"/>
    </xf>
    <xf applyAlignment="true" applyBorder="false" applyFill="true" applyFont="true" applyNumberFormat="false" applyProtection="false" borderId="130" fillId="131" fontId="3" numFmtId="0" xfId="0">
      <alignment horizontal="left" vertical="center" wrapText="true"/>
    </xf>
    <xf applyAlignment="true" applyBorder="false" applyFill="true" applyFont="true" applyNumberFormat="false" applyProtection="false" borderId="130" fillId="131" fontId="3" numFmtId="0" xfId="0">
      <alignment horizontal="center" vertical="center"/>
    </xf>
    <xf applyAlignment="true" applyBorder="false" applyFill="true" applyFont="true" applyNumberFormat="false" applyProtection="false" borderId="130" fillId="131" fontId="4" numFmtId="0" xfId="0">
      <alignment horizontal="center" vertical="center"/>
    </xf>
    <xf applyAlignment="true" applyBorder="false" applyFill="true" applyFont="true" applyNumberFormat="false" applyProtection="false" borderId="131" fillId="131" fontId="5" numFmtId="0" xfId="0">
      <alignment horizontal="center" vertical="center"/>
    </xf>
    <xf applyAlignment="true" applyBorder="false" applyFill="true" applyFont="true" applyNumberFormat="false" applyProtection="false" borderId="130" fillId="126" fontId="4" numFmtId="0" xfId="0">
      <alignment vertical="center"/>
    </xf>
    <xf applyAlignment="true" applyBorder="false" applyFill="false" applyFont="true" applyNumberFormat="false" applyProtection="false" borderId="130" fillId="0" fontId="4" numFmtId="0" xfId="0">
      <alignment vertical="center"/>
    </xf>
    <xf applyAlignment="true" applyBorder="false" applyFill="false" applyFont="true" applyNumberFormat="false" applyProtection="false" borderId="132" fillId="0" fontId="4" numFmtId="0" xfId="0">
      <alignment vertical="center"/>
    </xf>
    <xf applyAlignment="true" applyBorder="false" applyFill="false" applyFont="true" applyNumberFormat="false" applyProtection="false" borderId="132" fillId="0" fontId="4" numFmtId="0" xfId="0">
      <alignment vertical="center"/>
    </xf>
    <xf applyAlignment="true" applyBorder="false" applyFill="false" applyFont="true" applyNumberFormat="false" applyProtection="false" borderId="133" fillId="0" fontId="2" numFmtId="0" xfId="0">
      <alignment vertical="center"/>
    </xf>
    <xf applyAlignment="true" applyBorder="false" applyFill="false" applyFont="true" applyNumberFormat="false" applyProtection="false" borderId="134" fillId="0" fontId="2" numFmtId="0" xfId="0">
      <alignment vertical="center"/>
    </xf>
    <xf applyAlignment="true" applyBorder="false" applyFill="false" applyFont="true" applyNumberFormat="false" applyProtection="false" borderId="135" fillId="0" fontId="4" numFmtId="0" xfId="0">
      <alignment vertical="center"/>
    </xf>
    <xf applyAlignment="true" applyBorder="false" applyFill="false" applyFont="true" applyNumberFormat="false" applyProtection="false" borderId="136" fillId="0" fontId="4" numFmtId="0" xfId="0">
      <alignment vertical="center"/>
    </xf>
    <xf applyAlignment="true" applyBorder="false" applyFill="false" applyFont="true" applyNumberFormat="false" applyProtection="false" borderId="137" fillId="0" fontId="2" numFmtId="0" xfId="0">
      <alignment vertical="center"/>
    </xf>
    <xf applyAlignment="true" applyBorder="false" applyFill="false" applyFont="true" applyNumberFormat="false" applyProtection="false" borderId="138" fillId="0" fontId="2" numFmtId="0" xfId="0">
      <alignment vertical="center"/>
    </xf>
    <xf applyAlignment="true" applyBorder="false" applyFill="false" applyFont="true" applyNumberFormat="false" applyProtection="false" borderId="139" fillId="0" fontId="1" numFmtId="0" xfId="0">
      <alignment horizontal="center" vertical="center" wrapText="true"/>
    </xf>
    <xf applyAlignment="true" applyBorder="false" applyFill="false" applyFont="true" applyNumberFormat="false" applyProtection="false" borderId="139" fillId="0" fontId="1" numFmtId="0" xfId="0">
      <alignment horizontal="center" vertical="center" wrapText="true"/>
    </xf>
    <xf applyAlignment="true" applyBorder="false" applyFill="false" applyFont="true" applyNumberFormat="true" applyProtection="false" borderId="139" fillId="0" fontId="1" numFmtId="179" xfId="0">
      <alignment horizontal="center" vertical="center" wrapText="true"/>
    </xf>
    <xf applyAlignment="true" applyBorder="false" applyFill="false" applyFont="true" applyNumberFormat="false" applyProtection="false" borderId="140"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141" fillId="0" fontId="6" numFmtId="0" xfId="0">
      <alignment horizontal="left" vertical="center" wrapText="true"/>
    </xf>
    <xf applyAlignment="true" applyBorder="false" applyFill="true" applyFont="true" applyNumberFormat="false" applyProtection="false" borderId="142" fillId="132" fontId="3" numFmtId="0" xfId="0">
      <alignment horizontal="center" vertical="center" wrapText="true"/>
    </xf>
    <xf applyAlignment="true" applyBorder="false" applyFill="false" applyFont="true" applyNumberFormat="false" applyProtection="false" borderId="142" fillId="0" fontId="3" numFmtId="0" xfId="0">
      <alignment horizontal="center" vertical="center"/>
    </xf>
    <xf applyAlignment="true" applyBorder="false" applyFill="true" applyFont="true" applyNumberFormat="false" applyProtection="false" borderId="142" fillId="133" fontId="3" numFmtId="0" xfId="0">
      <alignment horizontal="center" vertical="center" wrapText="true"/>
    </xf>
    <xf applyAlignment="true" applyBorder="false" applyFill="true" applyFont="true" applyNumberFormat="false" applyProtection="false" borderId="142" fillId="133" fontId="3" numFmtId="0" xfId="0">
      <alignment vertical="center" wrapText="true"/>
    </xf>
    <xf applyAlignment="true" applyBorder="false" applyFill="true" applyFont="true" applyNumberFormat="false" applyProtection="false" borderId="142" fillId="133" fontId="3" numFmtId="0" xfId="0">
      <alignment horizontal="center" vertical="center"/>
    </xf>
    <xf applyAlignment="true" applyBorder="false" applyFill="true" applyFont="true" applyNumberFormat="false" applyProtection="false" borderId="142" fillId="133" fontId="4" numFmtId="0" xfId="0">
      <alignment horizontal="center" vertical="center"/>
    </xf>
    <xf applyAlignment="true" applyBorder="false" applyFill="true" applyFont="true" applyNumberFormat="false" applyProtection="false" borderId="142" fillId="133"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42" fillId="134" fontId="3" numFmtId="0" xfId="0">
      <alignment horizontal="center" vertical="center" wrapText="true"/>
    </xf>
    <xf applyAlignment="true" applyBorder="false" applyFill="true" applyFont="true" applyNumberFormat="false" applyProtection="false" borderId="142" fillId="134" fontId="3" numFmtId="0" xfId="0">
      <alignment vertical="center" wrapText="true"/>
    </xf>
    <xf applyAlignment="true" applyBorder="false" applyFill="true" applyFont="true" applyNumberFormat="false" applyProtection="false" borderId="142" fillId="134" fontId="3" numFmtId="0" xfId="0">
      <alignment horizontal="center" vertical="center"/>
    </xf>
    <xf applyAlignment="true" applyBorder="false" applyFill="true" applyFont="true" applyNumberFormat="false" applyProtection="false" borderId="142" fillId="134" fontId="4" numFmtId="0" xfId="0">
      <alignment horizontal="center" vertical="center"/>
    </xf>
    <xf applyAlignment="true" applyBorder="false" applyFill="true" applyFont="true" applyNumberFormat="false" applyProtection="false" borderId="142" fillId="134" fontId="3" numFmtId="0" xfId="0">
      <alignment horizontal="center" vertical="center"/>
    </xf>
    <xf applyAlignment="true" applyBorder="false" applyFill="true" applyFont="true" applyNumberFormat="false" applyProtection="false" borderId="142" fillId="135" fontId="3" numFmtId="0" xfId="0">
      <alignment horizontal="center" vertical="center" wrapText="true"/>
    </xf>
    <xf applyAlignment="true" applyBorder="false" applyFill="true" applyFont="true" applyNumberFormat="false" applyProtection="false" borderId="142" fillId="135" fontId="3" numFmtId="0" xfId="0">
      <alignment vertical="center" wrapText="true"/>
    </xf>
    <xf applyAlignment="true" applyBorder="false" applyFill="true" applyFont="true" applyNumberFormat="false" applyProtection="false" borderId="142" fillId="135" fontId="3" numFmtId="0" xfId="0">
      <alignment horizontal="center" vertical="center"/>
    </xf>
    <xf applyAlignment="true" applyBorder="false" applyFill="true" applyFont="true" applyNumberFormat="false" applyProtection="false" borderId="142" fillId="135" fontId="4" numFmtId="0" xfId="0">
      <alignment horizontal="center" vertical="center"/>
    </xf>
    <xf applyAlignment="true" applyBorder="false" applyFill="true" applyFont="true" applyNumberFormat="false" applyProtection="false" borderId="142" fillId="135" fontId="3" numFmtId="0" xfId="0">
      <alignment horizontal="center" vertical="center"/>
    </xf>
    <xf applyAlignment="true" applyBorder="false" applyFill="true" applyFont="true" applyNumberFormat="false" applyProtection="false" borderId="142" fillId="136" fontId="3" numFmtId="0" xfId="0">
      <alignment horizontal="center" vertical="center" wrapText="true"/>
    </xf>
    <xf applyAlignment="true" applyBorder="false" applyFill="true" applyFont="true" applyNumberFormat="false" applyProtection="false" borderId="142" fillId="136" fontId="3" numFmtId="0" xfId="0">
      <alignment horizontal="center" vertical="center"/>
    </xf>
    <xf applyAlignment="true" applyBorder="false" applyFill="true" applyFont="true" applyNumberFormat="false" applyProtection="false" borderId="142" fillId="136"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42"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42" fillId="0" fontId="4" numFmtId="0" xfId="0">
      <alignment horizontal="center" vertical="center" wrapText="true"/>
    </xf>
    <xf applyAlignment="true" applyBorder="false" applyFill="false" applyFont="true" applyNumberFormat="false" applyProtection="false" borderId="142" fillId="0" fontId="3" numFmtId="0" xfId="0">
      <alignment horizontal="center" vertical="center"/>
    </xf>
    <xf applyAlignment="true" applyBorder="false" applyFill="false" applyFont="true" applyNumberFormat="false" applyProtection="false" borderId="142" fillId="0" fontId="4" numFmtId="0" xfId="0">
      <alignment horizontal="center" vertical="center"/>
    </xf>
    <xf applyAlignment="true" applyBorder="false" applyFill="false" applyFont="true" applyNumberFormat="false" applyProtection="false" borderId="142"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42" fillId="137" fontId="3" numFmtId="0" xfId="0">
      <alignment horizontal="center" vertical="center" wrapText="true"/>
    </xf>
    <xf applyAlignment="true" applyBorder="false" applyFill="true" applyFont="true" applyNumberFormat="false" applyProtection="false" borderId="142" fillId="137" fontId="3" numFmtId="0" xfId="0">
      <alignment vertical="center" wrapText="true"/>
    </xf>
    <xf applyAlignment="true" applyBorder="false" applyFill="true" applyFont="true" applyNumberFormat="false" applyProtection="false" borderId="142" fillId="137" fontId="3" numFmtId="0" xfId="0">
      <alignment horizontal="center" vertical="center"/>
    </xf>
    <xf applyAlignment="true" applyBorder="false" applyFill="true" applyFont="true" applyNumberFormat="false" applyProtection="false" borderId="142" fillId="137" fontId="4" numFmtId="0" xfId="0">
      <alignment horizontal="center" vertical="center"/>
    </xf>
    <xf applyAlignment="true" applyBorder="false" applyFill="true" applyFont="true" applyNumberFormat="false" applyProtection="false" borderId="142" fillId="137" fontId="3" numFmtId="0" xfId="0">
      <alignment horizontal="center" vertical="center"/>
    </xf>
    <xf applyAlignment="true" applyBorder="false" applyFill="true" applyFont="true" applyNumberFormat="false" applyProtection="false" borderId="142" fillId="138" fontId="3" numFmtId="0" xfId="0">
      <alignment horizontal="center" vertical="center" wrapText="true"/>
    </xf>
    <xf applyAlignment="true" applyBorder="false" applyFill="true" applyFont="true" applyNumberFormat="false" applyProtection="false" borderId="142" fillId="138" fontId="3" numFmtId="0" xfId="0">
      <alignment vertical="center" wrapText="true"/>
    </xf>
    <xf applyAlignment="true" applyBorder="false" applyFill="true" applyFont="true" applyNumberFormat="false" applyProtection="false" borderId="142" fillId="138" fontId="3" numFmtId="0" xfId="0">
      <alignment horizontal="center" vertical="center"/>
    </xf>
    <xf applyAlignment="true" applyBorder="false" applyFill="true" applyFont="true" applyNumberFormat="false" applyProtection="false" borderId="142" fillId="138" fontId="4" numFmtId="0" xfId="0">
      <alignment horizontal="center" vertical="center"/>
    </xf>
    <xf applyAlignment="true" applyBorder="false" applyFill="true" applyFont="true" applyNumberFormat="false" applyProtection="false" borderId="142" fillId="138" fontId="3" numFmtId="0" xfId="0">
      <alignment horizontal="center" vertical="center"/>
    </xf>
    <xf applyAlignment="true" applyBorder="false" applyFill="true" applyFont="true" applyNumberFormat="false" applyProtection="false" borderId="142" fillId="139" fontId="5" numFmtId="0" xfId="0">
      <alignment horizontal="center" vertical="center"/>
    </xf>
    <xf applyAlignment="true" applyBorder="false" applyFill="true" applyFont="true" applyNumberFormat="false" applyProtection="false" borderId="142" fillId="139" fontId="3" numFmtId="0" xfId="0">
      <alignment vertical="center" wrapText="true"/>
    </xf>
    <xf applyAlignment="true" applyBorder="false" applyFill="true" applyFont="true" applyNumberFormat="false" applyProtection="false" borderId="142" fillId="139" fontId="3" numFmtId="0" xfId="0">
      <alignment horizontal="center" vertical="center"/>
    </xf>
    <xf applyAlignment="true" applyBorder="false" applyFill="true" applyFont="true" applyNumberFormat="false" applyProtection="false" borderId="142" fillId="139" fontId="4" numFmtId="0" xfId="0">
      <alignment horizontal="center" vertical="center"/>
    </xf>
    <xf applyAlignment="true" applyBorder="false" applyFill="true" applyFont="true" applyNumberFormat="false" applyProtection="false" borderId="142" fillId="139" fontId="3" numFmtId="0" xfId="0">
      <alignment horizontal="center" vertical="center"/>
    </xf>
    <xf applyAlignment="true" applyBorder="false" applyFill="true" applyFont="true" applyNumberFormat="false" applyProtection="false" borderId="142" fillId="132" fontId="3" numFmtId="0" xfId="0">
      <alignment horizontal="left" vertical="center" wrapText="true"/>
    </xf>
    <xf applyAlignment="true" applyBorder="false" applyFill="true" applyFont="true" applyNumberFormat="false" applyProtection="false" borderId="142" fillId="132" fontId="3" numFmtId="0" xfId="0">
      <alignment horizontal="center" vertical="center"/>
    </xf>
    <xf applyAlignment="true" applyBorder="false" applyFill="true" applyFont="true" applyNumberFormat="false" applyProtection="false" borderId="142" fillId="132" fontId="4" numFmtId="0" xfId="0">
      <alignment horizontal="center" vertical="center"/>
    </xf>
    <xf applyAlignment="true" applyBorder="false" applyFill="true" applyFont="true" applyNumberFormat="false" applyProtection="false" borderId="142" fillId="132" fontId="3" numFmtId="0" xfId="0">
      <alignment horizontal="center" vertical="center"/>
    </xf>
    <xf applyAlignment="true" applyBorder="false" applyFill="true" applyFont="true" applyNumberFormat="false" applyProtection="false" borderId="142" fillId="140" fontId="3" numFmtId="0" xfId="0">
      <alignment horizontal="center" vertical="center" wrapText="true"/>
    </xf>
    <xf applyAlignment="true" applyBorder="false" applyFill="true" applyFont="true" applyNumberFormat="false" applyProtection="false" borderId="142" fillId="140" fontId="3" numFmtId="0" xfId="0">
      <alignment horizontal="left" vertical="center" wrapText="true"/>
    </xf>
    <xf applyAlignment="true" applyBorder="false" applyFill="true" applyFont="true" applyNumberFormat="false" applyProtection="false" borderId="142" fillId="140" fontId="3" numFmtId="0" xfId="0">
      <alignment horizontal="center" vertical="center"/>
    </xf>
    <xf applyAlignment="true" applyBorder="false" applyFill="true" applyFont="true" applyNumberFormat="false" applyProtection="false" borderId="142" fillId="140" fontId="4" numFmtId="0" xfId="0">
      <alignment horizontal="center" vertical="center"/>
    </xf>
    <xf applyAlignment="true" applyBorder="false" applyFill="true" applyFont="true" applyNumberFormat="false" applyProtection="false" borderId="143" fillId="140" fontId="5" numFmtId="0" xfId="0">
      <alignment horizontal="center" vertical="center"/>
    </xf>
    <xf applyAlignment="true" applyBorder="false" applyFill="true" applyFont="true" applyNumberFormat="false" applyProtection="false" borderId="142" fillId="140" fontId="3" numFmtId="0" xfId="0">
      <alignment horizontal="center" vertical="center"/>
    </xf>
    <xf applyAlignment="true" applyBorder="false" applyFill="false" applyFont="true" applyNumberFormat="false" applyProtection="false" borderId="143" fillId="0" fontId="2" numFmtId="0" xfId="0">
      <alignment horizontal="center" vertical="center" wrapText="true"/>
    </xf>
    <xf applyAlignment="true" applyBorder="false" applyFill="false" applyFont="true" applyNumberFormat="false" applyProtection="false" borderId="143" fillId="0" fontId="5" numFmtId="0" xfId="0">
      <alignment horizontal="center" vertical="center"/>
    </xf>
    <xf applyAlignment="true" applyBorder="false" applyFill="false" applyFont="true" applyNumberFormat="false" applyProtection="false" borderId="143" fillId="0" fontId="2" numFmtId="0" xfId="0">
      <alignment horizontal="center" vertical="center"/>
    </xf>
    <xf applyAlignment="true" applyBorder="false" applyFill="false" applyFont="true" applyNumberFormat="false" applyProtection="false" borderId="143" fillId="0" fontId="2" numFmtId="0" xfId="0">
      <alignment vertical="center"/>
    </xf>
    <xf applyAlignment="true" applyBorder="false" applyFill="true" applyFont="true" applyNumberFormat="false" applyProtection="false" borderId="143" fillId="139" fontId="5" numFmtId="0" xfId="0">
      <alignment horizontal="center" vertical="center"/>
    </xf>
    <xf applyAlignment="true" applyBorder="false" applyFill="true" applyFont="true" applyNumberFormat="false" applyProtection="false" borderId="143" fillId="139" fontId="2" numFmtId="0" xfId="0">
      <alignment horizontal="center" vertical="center"/>
    </xf>
    <xf applyAlignment="true" applyBorder="false" applyFill="true" applyFont="true" applyNumberFormat="false" applyProtection="false" borderId="143" fillId="139" fontId="5" numFmtId="0" xfId="0">
      <alignment horizontal="center" vertical="center"/>
    </xf>
    <xf applyAlignment="true" applyBorder="false" applyFill="true" applyFont="true" applyNumberFormat="false" applyProtection="false" borderId="142" fillId="136" fontId="4" numFmtId="0" xfId="0">
      <alignment vertical="center"/>
    </xf>
    <xf applyAlignment="true" applyBorder="false" applyFill="true" applyFont="true" applyNumberFormat="false" applyProtection="false" borderId="142" fillId="138" fontId="3" numFmtId="0" xfId="0">
      <alignment horizontal="left" vertical="center" wrapText="true"/>
    </xf>
    <xf applyAlignment="true" applyBorder="false" applyFill="true" applyFont="true" applyNumberFormat="false" applyProtection="false" borderId="142" fillId="138" fontId="3" numFmtId="0" xfId="0">
      <alignment horizontal="center" vertical="center"/>
    </xf>
    <xf applyAlignment="true" applyBorder="false" applyFill="true" applyFont="true" applyNumberFormat="false" applyProtection="false" borderId="143" fillId="138" fontId="5" numFmtId="0" xfId="0">
      <alignment horizontal="center" vertical="center"/>
    </xf>
    <xf applyAlignment="true" applyBorder="false" applyFill="true" applyFont="true" applyNumberFormat="false" applyProtection="false" borderId="143" fillId="132"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43" fillId="138" fontId="5" numFmtId="0" xfId="0">
      <alignment horizontal="center" vertical="center" wrapText="true"/>
    </xf>
    <xf applyAlignment="true" applyBorder="false" applyFill="true" applyFont="true" applyNumberFormat="false" applyProtection="false" borderId="143" fillId="138" fontId="5" numFmtId="0" xfId="0">
      <alignment horizontal="left" vertical="center" wrapText="true"/>
    </xf>
    <xf applyAlignment="true" applyBorder="false" applyFill="true" applyFont="true" applyNumberFormat="false" applyProtection="false" borderId="143" fillId="138" fontId="5" numFmtId="0" xfId="0">
      <alignment horizontal="center" vertical="center"/>
    </xf>
    <xf applyAlignment="true" applyBorder="false" applyFill="true" applyFont="true" applyNumberFormat="false" applyProtection="false" borderId="143" fillId="138" fontId="2" numFmtId="0" xfId="0">
      <alignment horizontal="center" vertical="center"/>
    </xf>
    <xf applyAlignment="true" applyBorder="false" applyFill="true" applyFont="true" applyNumberFormat="false" applyProtection="false" borderId="143" fillId="137" fontId="5" numFmtId="0" xfId="0">
      <alignment horizontal="center" vertical="center" wrapText="true"/>
    </xf>
    <xf applyAlignment="true" applyBorder="false" applyFill="true" applyFont="true" applyNumberFormat="false" applyProtection="false" borderId="143" fillId="137" fontId="5" numFmtId="0" xfId="0">
      <alignment horizontal="left" vertical="center" wrapText="true"/>
    </xf>
    <xf applyAlignment="true" applyBorder="false" applyFill="true" applyFont="true" applyNumberFormat="false" applyProtection="false" borderId="143" fillId="137" fontId="5" numFmtId="0" xfId="0">
      <alignment horizontal="center" vertical="center"/>
    </xf>
    <xf applyAlignment="true" applyBorder="false" applyFill="true" applyFont="true" applyNumberFormat="false" applyProtection="false" borderId="143" fillId="137" fontId="2" numFmtId="0" xfId="0">
      <alignment horizontal="center" vertical="center"/>
    </xf>
    <xf applyAlignment="true" applyBorder="false" applyFill="true" applyFont="true" applyNumberFormat="false" applyProtection="false" borderId="143" fillId="137" fontId="5" numFmtId="0" xfId="0">
      <alignment horizontal="center" vertical="center"/>
    </xf>
    <xf applyAlignment="true" applyBorder="false" applyFill="true" applyFont="true" applyNumberFormat="false" applyProtection="false" borderId="142" fillId="141" fontId="3" numFmtId="0" xfId="0">
      <alignment horizontal="center" vertical="center" wrapText="true"/>
    </xf>
    <xf applyAlignment="true" applyBorder="false" applyFill="true" applyFont="true" applyNumberFormat="false" applyProtection="false" borderId="142" fillId="141" fontId="3" numFmtId="0" xfId="0">
      <alignment horizontal="left" vertical="center" wrapText="true"/>
    </xf>
    <xf applyAlignment="true" applyBorder="false" applyFill="true" applyFont="true" applyNumberFormat="false" applyProtection="false" borderId="142" fillId="141" fontId="3" numFmtId="0" xfId="0">
      <alignment horizontal="center" vertical="center"/>
    </xf>
    <xf applyAlignment="true" applyBorder="false" applyFill="true" applyFont="true" applyNumberFormat="false" applyProtection="false" borderId="142" fillId="141" fontId="4" numFmtId="0" xfId="0">
      <alignment horizontal="center" vertical="center"/>
    </xf>
    <xf applyAlignment="true" applyBorder="false" applyFill="true" applyFont="true" applyNumberFormat="false" applyProtection="false" borderId="143" fillId="141" fontId="5" numFmtId="0" xfId="0">
      <alignment horizontal="center" vertical="center"/>
    </xf>
    <xf applyAlignment="true" applyBorder="false" applyFill="true" applyFont="true" applyNumberFormat="false" applyProtection="false" borderId="142" fillId="136" fontId="4" numFmtId="0" xfId="0">
      <alignment vertical="center"/>
    </xf>
    <xf applyAlignment="true" applyBorder="false" applyFill="false" applyFont="true" applyNumberFormat="false" applyProtection="false" borderId="142" fillId="0" fontId="4" numFmtId="0" xfId="0">
      <alignment vertical="center"/>
    </xf>
    <xf applyAlignment="true" applyBorder="false" applyFill="false" applyFont="true" applyNumberFormat="false" applyProtection="false" borderId="144" fillId="0" fontId="4" numFmtId="0" xfId="0">
      <alignment vertical="center"/>
    </xf>
    <xf applyAlignment="true" applyBorder="false" applyFill="false" applyFont="true" applyNumberFormat="false" applyProtection="false" borderId="144" fillId="0" fontId="4" numFmtId="0" xfId="0">
      <alignment vertical="center"/>
    </xf>
    <xf applyAlignment="true" applyBorder="false" applyFill="false" applyFont="true" applyNumberFormat="false" applyProtection="false" borderId="145" fillId="0" fontId="2" numFmtId="0" xfId="0">
      <alignment vertical="center"/>
    </xf>
    <xf applyAlignment="true" applyBorder="false" applyFill="false" applyFont="true" applyNumberFormat="false" applyProtection="false" borderId="146" fillId="0" fontId="2" numFmtId="0" xfId="0">
      <alignment vertical="center"/>
    </xf>
    <xf applyAlignment="true" applyBorder="false" applyFill="false" applyFont="true" applyNumberFormat="false" applyProtection="false" borderId="147" fillId="0" fontId="4" numFmtId="0" xfId="0">
      <alignment vertical="center"/>
    </xf>
    <xf applyAlignment="true" applyBorder="false" applyFill="false" applyFont="true" applyNumberFormat="false" applyProtection="false" borderId="148" fillId="0" fontId="4" numFmtId="0" xfId="0">
      <alignment vertical="center"/>
    </xf>
    <xf applyAlignment="true" applyBorder="false" applyFill="false" applyFont="true" applyNumberFormat="false" applyProtection="false" borderId="149" fillId="0" fontId="2" numFmtId="0" xfId="0">
      <alignment vertical="center"/>
    </xf>
    <xf applyAlignment="true" applyBorder="false" applyFill="false" applyFont="true" applyNumberFormat="false" applyProtection="false" borderId="150" fillId="0" fontId="2" numFmtId="0" xfId="0">
      <alignment vertical="center"/>
    </xf>
    <xf applyAlignment="true" applyBorder="false" applyFill="false" applyFont="true" applyNumberFormat="false" applyProtection="false" borderId="151" fillId="0" fontId="1" numFmtId="0" xfId="0">
      <alignment horizontal="center" vertical="center" wrapText="true"/>
    </xf>
    <xf applyAlignment="true" applyBorder="false" applyFill="false" applyFont="true" applyNumberFormat="false" applyProtection="false" borderId="151" fillId="0" fontId="1" numFmtId="0" xfId="0">
      <alignment horizontal="center" vertical="center" wrapText="true"/>
    </xf>
    <xf applyAlignment="true" applyBorder="false" applyFill="false" applyFont="true" applyNumberFormat="true" applyProtection="false" borderId="151" fillId="0" fontId="1" numFmtId="180" xfId="0">
      <alignment horizontal="center" vertical="center" wrapText="true"/>
    </xf>
    <xf applyAlignment="true" applyBorder="false" applyFill="false" applyFont="true" applyNumberFormat="false" applyProtection="false" borderId="152"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153" fillId="0" fontId="6" numFmtId="0" xfId="0">
      <alignment horizontal="left" vertical="center" wrapText="true"/>
    </xf>
    <xf applyAlignment="true" applyBorder="false" applyFill="true" applyFont="true" applyNumberFormat="false" applyProtection="false" borderId="154" fillId="142" fontId="3" numFmtId="0" xfId="0">
      <alignment horizontal="center" vertical="center" wrapText="true"/>
    </xf>
    <xf applyAlignment="true" applyBorder="false" applyFill="false" applyFont="true" applyNumberFormat="false" applyProtection="false" borderId="154" fillId="0" fontId="3" numFmtId="0" xfId="0">
      <alignment horizontal="center" vertical="center"/>
    </xf>
    <xf applyAlignment="true" applyBorder="false" applyFill="true" applyFont="true" applyNumberFormat="false" applyProtection="false" borderId="154" fillId="143" fontId="3" numFmtId="0" xfId="0">
      <alignment horizontal="center" vertical="center" wrapText="true"/>
    </xf>
    <xf applyAlignment="true" applyBorder="false" applyFill="true" applyFont="true" applyNumberFormat="false" applyProtection="false" borderId="154" fillId="143" fontId="3" numFmtId="0" xfId="0">
      <alignment vertical="center" wrapText="true"/>
    </xf>
    <xf applyAlignment="true" applyBorder="false" applyFill="true" applyFont="true" applyNumberFormat="false" applyProtection="false" borderId="154" fillId="143" fontId="3" numFmtId="0" xfId="0">
      <alignment horizontal="center" vertical="center"/>
    </xf>
    <xf applyAlignment="true" applyBorder="false" applyFill="true" applyFont="true" applyNumberFormat="false" applyProtection="false" borderId="154" fillId="143" fontId="4" numFmtId="0" xfId="0">
      <alignment horizontal="center" vertical="center"/>
    </xf>
    <xf applyAlignment="true" applyBorder="false" applyFill="true" applyFont="true" applyNumberFormat="false" applyProtection="false" borderId="154" fillId="143"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54" fillId="144" fontId="3" numFmtId="0" xfId="0">
      <alignment horizontal="center" vertical="center" wrapText="true"/>
    </xf>
    <xf applyAlignment="true" applyBorder="false" applyFill="true" applyFont="true" applyNumberFormat="false" applyProtection="false" borderId="154" fillId="144" fontId="3" numFmtId="0" xfId="0">
      <alignment vertical="center" wrapText="true"/>
    </xf>
    <xf applyAlignment="true" applyBorder="false" applyFill="true" applyFont="true" applyNumberFormat="false" applyProtection="false" borderId="154" fillId="144" fontId="3" numFmtId="0" xfId="0">
      <alignment horizontal="center" vertical="center"/>
    </xf>
    <xf applyAlignment="true" applyBorder="false" applyFill="true" applyFont="true" applyNumberFormat="false" applyProtection="false" borderId="154" fillId="144" fontId="4" numFmtId="0" xfId="0">
      <alignment horizontal="center" vertical="center"/>
    </xf>
    <xf applyAlignment="true" applyBorder="false" applyFill="true" applyFont="true" applyNumberFormat="false" applyProtection="false" borderId="154" fillId="144" fontId="3" numFmtId="0" xfId="0">
      <alignment horizontal="center" vertical="center"/>
    </xf>
    <xf applyAlignment="true" applyBorder="false" applyFill="true" applyFont="true" applyNumberFormat="false" applyProtection="false" borderId="154" fillId="145" fontId="3" numFmtId="0" xfId="0">
      <alignment horizontal="center" vertical="center" wrapText="true"/>
    </xf>
    <xf applyAlignment="true" applyBorder="false" applyFill="true" applyFont="true" applyNumberFormat="false" applyProtection="false" borderId="154" fillId="145" fontId="3" numFmtId="0" xfId="0">
      <alignment vertical="center" wrapText="true"/>
    </xf>
    <xf applyAlignment="true" applyBorder="false" applyFill="true" applyFont="true" applyNumberFormat="false" applyProtection="false" borderId="154" fillId="145" fontId="3" numFmtId="0" xfId="0">
      <alignment horizontal="center" vertical="center"/>
    </xf>
    <xf applyAlignment="true" applyBorder="false" applyFill="true" applyFont="true" applyNumberFormat="false" applyProtection="false" borderId="154" fillId="145" fontId="4" numFmtId="0" xfId="0">
      <alignment horizontal="center" vertical="center"/>
    </xf>
    <xf applyAlignment="true" applyBorder="false" applyFill="true" applyFont="true" applyNumberFormat="false" applyProtection="false" borderId="154" fillId="145" fontId="3" numFmtId="0" xfId="0">
      <alignment horizontal="center" vertical="center"/>
    </xf>
    <xf applyAlignment="true" applyBorder="false" applyFill="true" applyFont="true" applyNumberFormat="false" applyProtection="false" borderId="154" fillId="142" fontId="3" numFmtId="0" xfId="0">
      <alignment vertical="center" wrapText="true"/>
    </xf>
    <xf applyAlignment="true" applyBorder="false" applyFill="true" applyFont="true" applyNumberFormat="false" applyProtection="false" borderId="154" fillId="142" fontId="3" numFmtId="0" xfId="0">
      <alignment horizontal="center" vertical="center"/>
    </xf>
    <xf applyAlignment="true" applyBorder="false" applyFill="true" applyFont="true" applyNumberFormat="false" applyProtection="false" borderId="154" fillId="142" fontId="4" numFmtId="0" xfId="0">
      <alignment horizontal="center" vertical="center"/>
    </xf>
    <xf applyAlignment="true" applyBorder="false" applyFill="true" applyFont="true" applyNumberFormat="false" applyProtection="false" borderId="154" fillId="142" fontId="4" numFmtId="0" xfId="0">
      <alignment horizontal="center" vertical="center"/>
    </xf>
    <xf applyAlignment="true" applyBorder="false" applyFill="true" applyFont="true" applyNumberFormat="false" applyProtection="false" borderId="154" fillId="142" fontId="3" numFmtId="0" xfId="0">
      <alignment horizontal="center" vertical="center"/>
    </xf>
    <xf applyAlignment="true" applyBorder="false" applyFill="true" applyFont="true" applyNumberFormat="false" applyProtection="false" borderId="154" fillId="146" fontId="3" numFmtId="0" xfId="0">
      <alignment horizontal="center" vertical="center" wrapText="true"/>
    </xf>
    <xf applyAlignment="true" applyBorder="false" applyFill="true" applyFont="true" applyNumberFormat="false" applyProtection="false" borderId="154" fillId="146" fontId="3" numFmtId="0" xfId="0">
      <alignment horizontal="center" vertical="center"/>
    </xf>
    <xf applyAlignment="true" applyBorder="false" applyFill="true" applyFont="true" applyNumberFormat="false" applyProtection="false" borderId="154" fillId="146"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54"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54" fillId="0" fontId="4" numFmtId="0" xfId="0">
      <alignment horizontal="center" vertical="center" wrapText="true"/>
    </xf>
    <xf applyAlignment="true" applyBorder="false" applyFill="false" applyFont="true" applyNumberFormat="false" applyProtection="false" borderId="154" fillId="0" fontId="3" numFmtId="0" xfId="0">
      <alignment horizontal="center" vertical="center"/>
    </xf>
    <xf applyAlignment="true" applyBorder="false" applyFill="false" applyFont="true" applyNumberFormat="false" applyProtection="false" borderId="154" fillId="0" fontId="4" numFmtId="0" xfId="0">
      <alignment horizontal="center" vertical="center"/>
    </xf>
    <xf applyAlignment="true" applyBorder="false" applyFill="false" applyFont="true" applyNumberFormat="false" applyProtection="false" borderId="154"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54" fillId="147" fontId="3" numFmtId="0" xfId="0">
      <alignment horizontal="center" vertical="center" wrapText="true"/>
    </xf>
    <xf applyAlignment="true" applyBorder="false" applyFill="true" applyFont="true" applyNumberFormat="false" applyProtection="false" borderId="154" fillId="147" fontId="3" numFmtId="0" xfId="0">
      <alignment vertical="center" wrapText="true"/>
    </xf>
    <xf applyAlignment="true" applyBorder="false" applyFill="true" applyFont="true" applyNumberFormat="false" applyProtection="false" borderId="154" fillId="147" fontId="3" numFmtId="0" xfId="0">
      <alignment horizontal="center" vertical="center"/>
    </xf>
    <xf applyAlignment="true" applyBorder="false" applyFill="true" applyFont="true" applyNumberFormat="false" applyProtection="false" borderId="154" fillId="147" fontId="4" numFmtId="0" xfId="0">
      <alignment horizontal="center" vertical="center"/>
    </xf>
    <xf applyAlignment="true" applyBorder="false" applyFill="true" applyFont="true" applyNumberFormat="false" applyProtection="false" borderId="154" fillId="147" fontId="3" numFmtId="0" xfId="0">
      <alignment horizontal="center" vertical="center"/>
    </xf>
    <xf applyAlignment="true" applyBorder="false" applyFill="true" applyFont="true" applyNumberFormat="false" applyProtection="false" borderId="154" fillId="148" fontId="3" numFmtId="0" xfId="0">
      <alignment horizontal="center" vertical="center" wrapText="true"/>
    </xf>
    <xf applyAlignment="true" applyBorder="false" applyFill="true" applyFont="true" applyNumberFormat="false" applyProtection="false" borderId="154" fillId="148" fontId="3" numFmtId="0" xfId="0">
      <alignment vertical="center" wrapText="true"/>
    </xf>
    <xf applyAlignment="true" applyBorder="false" applyFill="true" applyFont="true" applyNumberFormat="false" applyProtection="false" borderId="154" fillId="148" fontId="3" numFmtId="0" xfId="0">
      <alignment horizontal="center" vertical="center"/>
    </xf>
    <xf applyAlignment="true" applyBorder="false" applyFill="true" applyFont="true" applyNumberFormat="false" applyProtection="false" borderId="154" fillId="148" fontId="4" numFmtId="0" xfId="0">
      <alignment horizontal="center" vertical="center"/>
    </xf>
    <xf applyAlignment="true" applyBorder="false" applyFill="true" applyFont="true" applyNumberFormat="false" applyProtection="false" borderId="154" fillId="148" fontId="3" numFmtId="0" xfId="0">
      <alignment horizontal="center" vertical="center"/>
    </xf>
    <xf applyAlignment="true" applyBorder="false" applyFill="true" applyFont="true" applyNumberFormat="false" applyProtection="false" borderId="154" fillId="149" fontId="5" numFmtId="0" xfId="0">
      <alignment horizontal="center" vertical="center"/>
    </xf>
    <xf applyAlignment="true" applyBorder="false" applyFill="true" applyFont="true" applyNumberFormat="false" applyProtection="false" borderId="154" fillId="149" fontId="3" numFmtId="0" xfId="0">
      <alignment vertical="center" wrapText="true"/>
    </xf>
    <xf applyAlignment="true" applyBorder="false" applyFill="true" applyFont="true" applyNumberFormat="false" applyProtection="false" borderId="154" fillId="149" fontId="3" numFmtId="0" xfId="0">
      <alignment horizontal="center" vertical="center"/>
    </xf>
    <xf applyAlignment="true" applyBorder="false" applyFill="true" applyFont="true" applyNumberFormat="false" applyProtection="false" borderId="154" fillId="149" fontId="4" numFmtId="0" xfId="0">
      <alignment horizontal="center" vertical="center"/>
    </xf>
    <xf applyAlignment="true" applyBorder="false" applyFill="true" applyFont="true" applyNumberFormat="false" applyProtection="false" borderId="154" fillId="149" fontId="4" numFmtId="0" xfId="0">
      <alignment horizontal="center" vertical="center"/>
    </xf>
    <xf applyAlignment="true" applyBorder="false" applyFill="true" applyFont="true" applyNumberFormat="false" applyProtection="false" borderId="154" fillId="149" fontId="3" numFmtId="0" xfId="0">
      <alignment horizontal="center" vertical="center"/>
    </xf>
    <xf applyAlignment="true" applyBorder="false" applyFill="true" applyFont="true" applyNumberFormat="false" applyProtection="false" borderId="154" fillId="142" fontId="3" numFmtId="0" xfId="0">
      <alignment horizontal="left" vertical="center" wrapText="true"/>
    </xf>
    <xf applyAlignment="true" applyBorder="false" applyFill="true" applyFont="true" applyNumberFormat="false" applyProtection="false" borderId="154" fillId="145" fontId="3" numFmtId="0" xfId="0">
      <alignment horizontal="left" vertical="center" wrapText="true"/>
    </xf>
    <xf applyAlignment="true" applyBorder="false" applyFill="true" applyFont="true" applyNumberFormat="false" applyProtection="false" borderId="154" fillId="150" fontId="3" numFmtId="0" xfId="0">
      <alignment horizontal="center" vertical="center" wrapText="true"/>
    </xf>
    <xf applyAlignment="true" applyBorder="false" applyFill="true" applyFont="true" applyNumberFormat="false" applyProtection="false" borderId="154" fillId="150" fontId="3" numFmtId="0" xfId="0">
      <alignment horizontal="left" vertical="center" wrapText="true"/>
    </xf>
    <xf applyAlignment="true" applyBorder="false" applyFill="true" applyFont="true" applyNumberFormat="false" applyProtection="false" borderId="154" fillId="150" fontId="3" numFmtId="0" xfId="0">
      <alignment horizontal="center" vertical="center"/>
    </xf>
    <xf applyAlignment="true" applyBorder="false" applyFill="true" applyFont="true" applyNumberFormat="false" applyProtection="false" borderId="154" fillId="150" fontId="4" numFmtId="0" xfId="0">
      <alignment horizontal="center" vertical="center"/>
    </xf>
    <xf applyAlignment="true" applyBorder="false" applyFill="true" applyFont="true" applyNumberFormat="false" applyProtection="false" borderId="155" fillId="150" fontId="5" numFmtId="0" xfId="0">
      <alignment horizontal="center" vertical="center"/>
    </xf>
    <xf applyAlignment="true" applyBorder="false" applyFill="true" applyFont="true" applyNumberFormat="false" applyProtection="false" borderId="155" fillId="142" fontId="5" numFmtId="0" xfId="0">
      <alignment horizontal="center" vertical="center"/>
    </xf>
    <xf applyAlignment="true" applyBorder="false" applyFill="true" applyFont="true" applyNumberFormat="false" applyProtection="false" borderId="154" fillId="148" fontId="3" numFmtId="0" xfId="0">
      <alignment horizontal="left" vertical="center" wrapText="true"/>
    </xf>
    <xf applyAlignment="true" applyBorder="false" applyFill="true" applyFont="true" applyNumberFormat="false" applyProtection="false" borderId="155" fillId="148" fontId="5" numFmtId="0" xfId="0">
      <alignment horizontal="center" vertical="center"/>
    </xf>
    <xf applyAlignment="true" applyBorder="false" applyFill="true" applyFont="true" applyNumberFormat="false" applyProtection="false" borderId="154" fillId="151" fontId="3" numFmtId="0" xfId="0">
      <alignment horizontal="center" vertical="center" wrapText="true"/>
    </xf>
    <xf applyAlignment="true" applyBorder="false" applyFill="true" applyFont="true" applyNumberFormat="false" applyProtection="false" borderId="154" fillId="151" fontId="3" numFmtId="0" xfId="0">
      <alignment horizontal="left" vertical="center" wrapText="true"/>
    </xf>
    <xf applyAlignment="true" applyBorder="false" applyFill="true" applyFont="true" applyNumberFormat="false" applyProtection="false" borderId="154" fillId="151" fontId="3" numFmtId="0" xfId="0">
      <alignment horizontal="center" vertical="center"/>
    </xf>
    <xf applyAlignment="true" applyBorder="false" applyFill="true" applyFont="true" applyNumberFormat="false" applyProtection="false" borderId="154" fillId="151" fontId="4" numFmtId="0" xfId="0">
      <alignment horizontal="center" vertical="center"/>
    </xf>
    <xf applyAlignment="true" applyBorder="false" applyFill="true" applyFont="true" applyNumberFormat="false" applyProtection="false" borderId="155" fillId="151" fontId="5" numFmtId="0" xfId="0">
      <alignment horizontal="center" vertical="center"/>
    </xf>
    <xf applyAlignment="true" applyBorder="false" applyFill="true" applyFont="true" applyNumberFormat="false" applyProtection="false" borderId="154" fillId="152" fontId="3" numFmtId="0" xfId="0">
      <alignment horizontal="center" vertical="center" wrapText="true"/>
    </xf>
    <xf applyAlignment="true" applyBorder="false" applyFill="true" applyFont="true" applyNumberFormat="false" applyProtection="false" borderId="154" fillId="152" fontId="3" numFmtId="0" xfId="0">
      <alignment horizontal="left" vertical="center" wrapText="true"/>
    </xf>
    <xf applyAlignment="true" applyBorder="false" applyFill="true" applyFont="true" applyNumberFormat="false" applyProtection="false" borderId="154" fillId="152" fontId="3" numFmtId="0" xfId="0">
      <alignment horizontal="center" vertical="center"/>
    </xf>
    <xf applyAlignment="true" applyBorder="false" applyFill="true" applyFont="true" applyNumberFormat="false" applyProtection="false" borderId="154" fillId="152" fontId="4" numFmtId="0" xfId="0">
      <alignment horizontal="center" vertical="center"/>
    </xf>
    <xf applyAlignment="true" applyBorder="false" applyFill="true" applyFont="true" applyNumberFormat="false" applyProtection="false" borderId="155" fillId="152" fontId="5" numFmtId="0" xfId="0">
      <alignment horizontal="center" vertical="center"/>
    </xf>
    <xf applyAlignment="true" applyBorder="false" applyFill="true" applyFont="true" applyNumberFormat="false" applyProtection="false" borderId="154" fillId="147" fontId="3" numFmtId="0" xfId="0">
      <alignment horizontal="left" vertical="center" wrapText="true"/>
    </xf>
    <xf applyAlignment="true" applyBorder="false" applyFill="true" applyFont="true" applyNumberFormat="false" applyProtection="false" borderId="155" fillId="147" fontId="5" numFmtId="0" xfId="0">
      <alignment horizontal="center" vertical="center"/>
    </xf>
    <xf applyAlignment="true" applyBorder="false" applyFill="true" applyFont="true" applyNumberFormat="false" applyProtection="false" borderId="154" fillId="143" fontId="3" numFmtId="0" xfId="0">
      <alignment horizontal="left" vertical="center" wrapText="true"/>
    </xf>
    <xf applyAlignment="true" applyBorder="false" applyFill="true" applyFont="true" applyNumberFormat="false" applyProtection="false" borderId="155" fillId="143"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54" fillId="144" fontId="3" numFmtId="0" xfId="0">
      <alignment horizontal="left" vertical="center" wrapText="true"/>
    </xf>
    <xf applyAlignment="true" applyBorder="false" applyFill="true" applyFont="true" applyNumberFormat="false" applyProtection="false" borderId="155" fillId="144" fontId="5" numFmtId="0" xfId="0">
      <alignment horizontal="center" vertical="center"/>
    </xf>
    <xf applyAlignment="true" applyBorder="false" applyFill="true" applyFont="true" applyNumberFormat="false" applyProtection="false" borderId="155" fillId="145" fontId="5" numFmtId="0" xfId="0">
      <alignment horizontal="center" vertical="center" wrapText="true"/>
    </xf>
    <xf applyAlignment="true" applyBorder="false" applyFill="true" applyFont="true" applyNumberFormat="false" applyProtection="false" borderId="155" fillId="145" fontId="5" numFmtId="0" xfId="0">
      <alignment horizontal="left" vertical="center" wrapText="true"/>
    </xf>
    <xf applyAlignment="true" applyBorder="false" applyFill="true" applyFont="true" applyNumberFormat="false" applyProtection="false" borderId="155" fillId="145" fontId="5" numFmtId="0" xfId="0">
      <alignment horizontal="center" vertical="center"/>
    </xf>
    <xf applyAlignment="true" applyBorder="false" applyFill="true" applyFont="true" applyNumberFormat="false" applyProtection="false" borderId="155" fillId="145" fontId="2" numFmtId="0" xfId="0">
      <alignment horizontal="center" vertical="center"/>
    </xf>
    <xf applyAlignment="true" applyBorder="false" applyFill="false" applyFont="true" applyNumberFormat="false" applyProtection="false" borderId="155" fillId="0" fontId="2" numFmtId="0" xfId="0">
      <alignment horizontal="center" vertical="center" wrapText="true"/>
    </xf>
    <xf applyAlignment="true" applyBorder="false" applyFill="false" applyFont="true" applyNumberFormat="false" applyProtection="false" borderId="155" fillId="0" fontId="5" numFmtId="0" xfId="0">
      <alignment horizontal="center" vertical="center"/>
    </xf>
    <xf applyAlignment="true" applyBorder="false" applyFill="false" applyFont="true" applyNumberFormat="false" applyProtection="false" borderId="155" fillId="0" fontId="2" numFmtId="0" xfId="0">
      <alignment horizontal="center" vertical="center"/>
    </xf>
    <xf applyAlignment="true" applyBorder="false" applyFill="false" applyFont="true" applyNumberFormat="false" applyProtection="false" borderId="155" fillId="0" fontId="2" numFmtId="0" xfId="0">
      <alignment vertical="center"/>
    </xf>
    <xf applyAlignment="true" applyBorder="false" applyFill="true" applyFont="true" applyNumberFormat="false" applyProtection="false" borderId="154" fillId="144" fontId="5" numFmtId="0" xfId="0">
      <alignment horizontal="center" vertical="center"/>
    </xf>
    <xf applyAlignment="true" applyBorder="false" applyFill="true" applyFont="true" applyNumberFormat="false" applyProtection="false" borderId="155" fillId="144" fontId="5" numFmtId="0" xfId="0">
      <alignment horizontal="center" vertical="center"/>
    </xf>
    <xf applyAlignment="true" applyBorder="false" applyFill="true" applyFont="true" applyNumberFormat="false" applyProtection="false" borderId="155" fillId="144" fontId="2" numFmtId="0" xfId="0">
      <alignment horizontal="center" vertical="center"/>
    </xf>
    <xf applyAlignment="true" applyBorder="false" applyFill="true" applyFont="true" applyNumberFormat="false" applyProtection="false" borderId="155" fillId="144" fontId="2" numFmtId="0" xfId="0">
      <alignment horizontal="center" vertical="center"/>
    </xf>
    <xf applyAlignment="true" applyBorder="false" applyFill="true" applyFont="true" applyNumberFormat="false" applyProtection="false" borderId="154" fillId="145" fontId="5" numFmtId="0" xfId="0">
      <alignment horizontal="center" vertical="center" wrapText="true"/>
    </xf>
    <xf applyAlignment="true" applyBorder="false" applyFill="true" applyFont="true" applyNumberFormat="false" applyProtection="false" borderId="155" fillId="145" fontId="5" numFmtId="0" xfId="0">
      <alignment horizontal="center" vertical="center"/>
    </xf>
    <xf applyAlignment="true" applyBorder="false" applyFill="true" applyFont="true" applyNumberFormat="false" applyProtection="false" borderId="155" fillId="142" fontId="5" numFmtId="0" xfId="0">
      <alignment horizontal="center" vertical="center" wrapText="true"/>
    </xf>
    <xf applyAlignment="true" applyBorder="false" applyFill="true" applyFont="true" applyNumberFormat="false" applyProtection="false" borderId="155" fillId="142" fontId="5" numFmtId="0" xfId="0">
      <alignment horizontal="left" vertical="center" wrapText="true"/>
    </xf>
    <xf applyAlignment="true" applyBorder="false" applyFill="true" applyFont="true" applyNumberFormat="false" applyProtection="false" borderId="155" fillId="142" fontId="5" numFmtId="0" xfId="0">
      <alignment horizontal="center" vertical="center"/>
    </xf>
    <xf applyAlignment="true" applyBorder="false" applyFill="true" applyFont="true" applyNumberFormat="false" applyProtection="false" borderId="155" fillId="142" fontId="2" numFmtId="0" xfId="0">
      <alignment horizontal="center" vertical="center"/>
    </xf>
    <xf applyAlignment="true" applyBorder="false" applyFill="true" applyFont="true" applyNumberFormat="false" applyProtection="false" borderId="155" fillId="148" fontId="5" numFmtId="0" xfId="0">
      <alignment horizontal="center" vertical="center" wrapText="true"/>
    </xf>
    <xf applyAlignment="true" applyBorder="false" applyFill="true" applyFont="true" applyNumberFormat="false" applyProtection="false" borderId="155" fillId="148" fontId="5" numFmtId="0" xfId="0">
      <alignment horizontal="left" vertical="center" wrapText="true"/>
    </xf>
    <xf applyAlignment="true" applyBorder="false" applyFill="true" applyFont="true" applyNumberFormat="false" applyProtection="false" borderId="155" fillId="148" fontId="5" numFmtId="0" xfId="0">
      <alignment horizontal="center" vertical="center"/>
    </xf>
    <xf applyAlignment="true" applyBorder="false" applyFill="true" applyFont="true" applyNumberFormat="false" applyProtection="false" borderId="155" fillId="148" fontId="2" numFmtId="0" xfId="0">
      <alignment horizontal="center" vertical="center"/>
    </xf>
    <xf applyAlignment="true" applyBorder="false" applyFill="true" applyFont="true" applyNumberFormat="false" applyProtection="false" borderId="155" fillId="148" fontId="2" numFmtId="0" xfId="0">
      <alignment vertical="center"/>
    </xf>
    <xf applyAlignment="true" applyBorder="false" applyFill="true" applyFont="true" applyNumberFormat="false" applyProtection="false" borderId="154" fillId="146" fontId="4" numFmtId="0" xfId="0">
      <alignment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155" fillId="147" fontId="5" numFmtId="0" xfId="0">
      <alignment horizontal="center" vertical="center"/>
    </xf>
    <xf applyAlignment="true" applyBorder="false" applyFill="true" applyFont="true" applyNumberFormat="false" applyProtection="false" borderId="155" fillId="147" fontId="2" numFmtId="0" xfId="0">
      <alignment horizontal="center" vertical="center"/>
    </xf>
    <xf applyAlignment="true" applyBorder="false" applyFill="true" applyFont="true" applyNumberFormat="false" applyProtection="false" borderId="155" fillId="150" fontId="5" numFmtId="0" xfId="0">
      <alignment horizontal="center" vertical="center"/>
    </xf>
    <xf applyAlignment="true" applyBorder="false" applyFill="true" applyFont="true" applyNumberFormat="false" applyProtection="false" borderId="155" fillId="150" fontId="2" numFmtId="0" xfId="0">
      <alignment horizontal="center" vertical="center"/>
    </xf>
    <xf applyAlignment="true" applyBorder="false" applyFill="true" applyFont="true" applyNumberFormat="false" applyProtection="false" borderId="154" fillId="146" fontId="4" numFmtId="0" xfId="0">
      <alignment vertical="center"/>
    </xf>
    <xf applyAlignment="true" applyBorder="false" applyFill="false" applyFont="true" applyNumberFormat="false" applyProtection="false" borderId="154" fillId="0" fontId="4" numFmtId="0" xfId="0">
      <alignment vertical="center"/>
    </xf>
    <xf applyAlignment="true" applyBorder="false" applyFill="false" applyFont="true" applyNumberFormat="false" applyProtection="false" borderId="156" fillId="0" fontId="4" numFmtId="0" xfId="0">
      <alignment vertical="center"/>
    </xf>
    <xf applyAlignment="true" applyBorder="false" applyFill="false" applyFont="true" applyNumberFormat="false" applyProtection="false" borderId="156" fillId="0" fontId="4" numFmtId="0" xfId="0">
      <alignment vertical="center"/>
    </xf>
    <xf applyAlignment="true" applyBorder="false" applyFill="false" applyFont="true" applyNumberFormat="false" applyProtection="false" borderId="157" fillId="0" fontId="2" numFmtId="0" xfId="0">
      <alignment vertical="center"/>
    </xf>
    <xf applyAlignment="true" applyBorder="false" applyFill="false" applyFont="true" applyNumberFormat="false" applyProtection="false" borderId="158" fillId="0" fontId="2" numFmtId="0" xfId="0">
      <alignment vertical="center"/>
    </xf>
    <xf applyAlignment="true" applyBorder="false" applyFill="false" applyFont="true" applyNumberFormat="false" applyProtection="false" borderId="159" fillId="0" fontId="4" numFmtId="0" xfId="0">
      <alignment vertical="center"/>
    </xf>
    <xf applyAlignment="true" applyBorder="false" applyFill="false" applyFont="true" applyNumberFormat="false" applyProtection="false" borderId="160" fillId="0" fontId="4" numFmtId="0" xfId="0">
      <alignment vertical="center"/>
    </xf>
    <xf applyAlignment="true" applyBorder="false" applyFill="false" applyFont="true" applyNumberFormat="false" applyProtection="false" borderId="161" fillId="0" fontId="2" numFmtId="0" xfId="0">
      <alignment vertical="center"/>
    </xf>
    <xf applyAlignment="true" applyBorder="false" applyFill="false" applyFont="true" applyNumberFormat="false" applyProtection="false" borderId="162" fillId="0" fontId="2" numFmtId="0" xfId="0">
      <alignment vertical="center"/>
    </xf>
    <xf applyAlignment="true" applyBorder="false" applyFill="false" applyFont="true" applyNumberFormat="false" applyProtection="false" borderId="163" fillId="0" fontId="4" numFmtId="0" xfId="0">
      <alignment vertical="center"/>
    </xf>
    <xf applyAlignment="true" applyBorder="false" applyFill="false" applyFont="true" applyNumberFormat="false" applyProtection="false" borderId="164" fillId="0" fontId="4" numFmtId="0" xfId="0">
      <alignment vertical="center"/>
    </xf>
    <xf applyAlignment="true" applyBorder="false" applyFill="false" applyFont="true" applyNumberFormat="false" applyProtection="false" borderId="164" fillId="0" fontId="2" numFmtId="0" xfId="0">
      <alignment vertical="center"/>
    </xf>
    <xf applyAlignment="true" applyBorder="false" applyFill="false" applyFont="true" applyNumberFormat="false" applyProtection="false" borderId="164" fillId="0" fontId="4" numFmtId="0" xfId="0">
      <alignment vertical="center"/>
    </xf>
    <xf applyAlignment="true" applyBorder="false" applyFill="false" applyFont="true" applyNumberFormat="false" applyProtection="false" borderId="165" fillId="0" fontId="4" numFmtId="0" xfId="0">
      <alignment vertical="center"/>
    </xf>
    <xf applyAlignment="true" applyBorder="false" applyFill="false" applyFont="true" applyNumberFormat="false" applyProtection="false" borderId="166" fillId="0" fontId="4" numFmtId="0" xfId="0">
      <alignment vertical="center"/>
    </xf>
    <xf applyAlignment="true" applyBorder="false" applyFill="false" applyFont="true" applyNumberFormat="false" applyProtection="false" borderId="167" fillId="0" fontId="1" numFmtId="0" xfId="0">
      <alignment horizontal="center" vertical="center" wrapText="true"/>
    </xf>
    <xf applyAlignment="true" applyBorder="false" applyFill="false" applyFont="true" applyNumberFormat="false" applyProtection="false" borderId="167" fillId="0" fontId="1" numFmtId="0" xfId="0">
      <alignment horizontal="center" vertical="center" wrapText="true"/>
    </xf>
    <xf applyAlignment="true" applyBorder="false" applyFill="false" applyFont="true" applyNumberFormat="true" applyProtection="false" borderId="167" fillId="0" fontId="1" numFmtId="181" xfId="0">
      <alignment horizontal="center" vertical="center" wrapText="true"/>
    </xf>
    <xf applyAlignment="true" applyBorder="false" applyFill="false" applyFont="true" applyNumberFormat="false" applyProtection="false" borderId="168"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169" fillId="0" fontId="6" numFmtId="0" xfId="0">
      <alignment horizontal="left" vertical="center" wrapText="true"/>
    </xf>
    <xf applyAlignment="true" applyBorder="false" applyFill="true" applyFont="true" applyNumberFormat="false" applyProtection="false" borderId="170" fillId="153" fontId="3" numFmtId="0" xfId="0">
      <alignment horizontal="center" vertical="center" wrapText="true"/>
    </xf>
    <xf applyAlignment="true" applyBorder="false" applyFill="false" applyFont="true" applyNumberFormat="false" applyProtection="false" borderId="170" fillId="0" fontId="3" numFmtId="0" xfId="0">
      <alignment horizontal="center" vertical="center"/>
    </xf>
    <xf applyAlignment="true" applyBorder="false" applyFill="true" applyFont="true" applyNumberFormat="false" applyProtection="false" borderId="170" fillId="154" fontId="3" numFmtId="0" xfId="0">
      <alignment horizontal="center" vertical="center" wrapText="true"/>
    </xf>
    <xf applyAlignment="true" applyBorder="false" applyFill="true" applyFont="true" applyNumberFormat="false" applyProtection="false" borderId="170" fillId="154" fontId="3" numFmtId="0" xfId="0">
      <alignment vertical="center" wrapText="true"/>
    </xf>
    <xf applyAlignment="true" applyBorder="false" applyFill="true" applyFont="true" applyNumberFormat="false" applyProtection="false" borderId="170" fillId="154" fontId="3" numFmtId="0" xfId="0">
      <alignment horizontal="center" vertical="center"/>
    </xf>
    <xf applyAlignment="true" applyBorder="false" applyFill="true" applyFont="true" applyNumberFormat="false" applyProtection="false" borderId="170" fillId="154" fontId="4" numFmtId="0" xfId="0">
      <alignment horizontal="center" vertical="center"/>
    </xf>
    <xf applyAlignment="true" applyBorder="false" applyFill="true" applyFont="true" applyNumberFormat="false" applyProtection="false" borderId="170" fillId="154" fontId="4" numFmtId="0" xfId="0">
      <alignment horizontal="center" vertical="center"/>
    </xf>
    <xf applyAlignment="true" applyBorder="false" applyFill="true" applyFont="true" applyNumberFormat="false" applyProtection="false" borderId="170" fillId="154"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70" fillId="155" fontId="3" numFmtId="0" xfId="0">
      <alignment horizontal="center" vertical="center" wrapText="true"/>
    </xf>
    <xf applyAlignment="true" applyBorder="false" applyFill="true" applyFont="true" applyNumberFormat="false" applyProtection="false" borderId="170" fillId="155" fontId="3" numFmtId="0" xfId="0">
      <alignment vertical="center" wrapText="true"/>
    </xf>
    <xf applyAlignment="true" applyBorder="false" applyFill="true" applyFont="true" applyNumberFormat="false" applyProtection="false" borderId="170" fillId="155" fontId="3" numFmtId="0" xfId="0">
      <alignment horizontal="center" vertical="center"/>
    </xf>
    <xf applyAlignment="true" applyBorder="false" applyFill="true" applyFont="true" applyNumberFormat="false" applyProtection="false" borderId="170" fillId="155" fontId="4" numFmtId="0" xfId="0">
      <alignment horizontal="center" vertical="center"/>
    </xf>
    <xf applyAlignment="true" applyBorder="false" applyFill="true" applyFont="true" applyNumberFormat="false" applyProtection="false" borderId="170" fillId="155" fontId="4" numFmtId="0" xfId="0">
      <alignment horizontal="center" vertical="center"/>
    </xf>
    <xf applyAlignment="true" applyBorder="false" applyFill="true" applyFont="true" applyNumberFormat="false" applyProtection="false" borderId="170" fillId="155" fontId="3" numFmtId="0" xfId="0">
      <alignment horizontal="center" vertical="center"/>
    </xf>
    <xf applyAlignment="true" applyBorder="false" applyFill="true" applyFont="true" applyNumberFormat="false" applyProtection="false" borderId="170" fillId="156" fontId="3" numFmtId="0" xfId="0">
      <alignment horizontal="center" vertical="center" wrapText="true"/>
    </xf>
    <xf applyAlignment="true" applyBorder="false" applyFill="true" applyFont="true" applyNumberFormat="false" applyProtection="false" borderId="170" fillId="156" fontId="3" numFmtId="0" xfId="0">
      <alignment vertical="center" wrapText="true"/>
    </xf>
    <xf applyAlignment="true" applyBorder="false" applyFill="true" applyFont="true" applyNumberFormat="false" applyProtection="false" borderId="170" fillId="156" fontId="3" numFmtId="0" xfId="0">
      <alignment horizontal="center" vertical="center"/>
    </xf>
    <xf applyAlignment="true" applyBorder="false" applyFill="true" applyFont="true" applyNumberFormat="false" applyProtection="false" borderId="170" fillId="156" fontId="4" numFmtId="0" xfId="0">
      <alignment horizontal="center" vertical="center"/>
    </xf>
    <xf applyAlignment="true" applyBorder="false" applyFill="true" applyFont="true" applyNumberFormat="false" applyProtection="false" borderId="170" fillId="156" fontId="4" numFmtId="0" xfId="0">
      <alignment horizontal="center" vertical="center"/>
    </xf>
    <xf applyAlignment="true" applyBorder="false" applyFill="true" applyFont="true" applyNumberFormat="false" applyProtection="false" borderId="170" fillId="156" fontId="3" numFmtId="0" xfId="0">
      <alignment horizontal="center" vertical="center"/>
    </xf>
    <xf applyAlignment="true" applyBorder="false" applyFill="true" applyFont="true" applyNumberFormat="false" applyProtection="false" borderId="170" fillId="153" fontId="3" numFmtId="0" xfId="0">
      <alignment vertical="center" wrapText="true"/>
    </xf>
    <xf applyAlignment="true" applyBorder="false" applyFill="true" applyFont="true" applyNumberFormat="false" applyProtection="false" borderId="170" fillId="153" fontId="3" numFmtId="0" xfId="0">
      <alignment horizontal="center" vertical="center"/>
    </xf>
    <xf applyAlignment="true" applyBorder="false" applyFill="true" applyFont="true" applyNumberFormat="false" applyProtection="false" borderId="170" fillId="153" fontId="4" numFmtId="0" xfId="0">
      <alignment horizontal="center" vertical="center"/>
    </xf>
    <xf applyAlignment="true" applyBorder="false" applyFill="true" applyFont="true" applyNumberFormat="false" applyProtection="false" borderId="170" fillId="153" fontId="4" numFmtId="0" xfId="0">
      <alignment horizontal="center" vertical="center"/>
    </xf>
    <xf applyAlignment="true" applyBorder="false" applyFill="true" applyFont="true" applyNumberFormat="false" applyProtection="false" borderId="170" fillId="153" fontId="3" numFmtId="0" xfId="0">
      <alignment horizontal="center" vertical="center"/>
    </xf>
    <xf applyAlignment="true" applyBorder="false" applyFill="true" applyFont="true" applyNumberFormat="false" applyProtection="false" borderId="170" fillId="157" fontId="3" numFmtId="0" xfId="0">
      <alignment horizontal="center" vertical="center" wrapText="true"/>
    </xf>
    <xf applyAlignment="true" applyBorder="false" applyFill="true" applyFont="true" applyNumberFormat="false" applyProtection="false" borderId="170" fillId="157" fontId="3" numFmtId="0" xfId="0">
      <alignment horizontal="center" vertical="center"/>
    </xf>
    <xf applyAlignment="true" applyBorder="false" applyFill="true" applyFont="true" applyNumberFormat="false" applyProtection="false" borderId="170" fillId="157"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70" fillId="0" fontId="3" numFmtId="0" xfId="0">
      <alignment horizontal="center" vertical="center" wrapText="true"/>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70" fillId="156"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70" fillId="0" fontId="4" numFmtId="0" xfId="0">
      <alignment horizontal="center" vertical="center" wrapText="true"/>
    </xf>
    <xf applyAlignment="true" applyBorder="false" applyFill="false" applyFont="true" applyNumberFormat="false" applyProtection="false" borderId="170" fillId="0" fontId="3" numFmtId="0" xfId="0">
      <alignment horizontal="center" vertical="center"/>
    </xf>
    <xf applyAlignment="true" applyBorder="false" applyFill="false" applyFont="true" applyNumberFormat="false" applyProtection="false" borderId="170" fillId="0" fontId="4" numFmtId="0" xfId="0">
      <alignment horizontal="center" vertical="center"/>
    </xf>
    <xf applyAlignment="true" applyBorder="false" applyFill="false" applyFont="true" applyNumberFormat="false" applyProtection="false" borderId="17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70" fillId="158" fontId="3" numFmtId="0" xfId="0">
      <alignment horizontal="center" vertical="center" wrapText="true"/>
    </xf>
    <xf applyAlignment="true" applyBorder="false" applyFill="true" applyFont="true" applyNumberFormat="false" applyProtection="false" borderId="170" fillId="158" fontId="3" numFmtId="0" xfId="0">
      <alignment vertical="center" wrapText="true"/>
    </xf>
    <xf applyAlignment="true" applyBorder="false" applyFill="true" applyFont="true" applyNumberFormat="false" applyProtection="false" borderId="170" fillId="158" fontId="3" numFmtId="0" xfId="0">
      <alignment horizontal="center" vertical="center"/>
    </xf>
    <xf applyAlignment="true" applyBorder="false" applyFill="true" applyFont="true" applyNumberFormat="false" applyProtection="false" borderId="170" fillId="158" fontId="4" numFmtId="0" xfId="0">
      <alignment horizontal="center" vertical="center"/>
    </xf>
    <xf applyAlignment="true" applyBorder="false" applyFill="true" applyFont="true" applyNumberFormat="false" applyProtection="false" borderId="170" fillId="158" fontId="4" numFmtId="0" xfId="0">
      <alignment horizontal="center" vertical="center"/>
    </xf>
    <xf applyAlignment="true" applyBorder="false" applyFill="true" applyFont="true" applyNumberFormat="false" applyProtection="false" borderId="170" fillId="158" fontId="3" numFmtId="0" xfId="0">
      <alignment horizontal="center" vertical="center"/>
    </xf>
    <xf applyAlignment="true" applyBorder="false" applyFill="true" applyFont="true" applyNumberFormat="false" applyProtection="false" borderId="170" fillId="159" fontId="3" numFmtId="0" xfId="0">
      <alignment horizontal="center" vertical="center" wrapText="true"/>
    </xf>
    <xf applyAlignment="true" applyBorder="false" applyFill="true" applyFont="true" applyNumberFormat="false" applyProtection="false" borderId="170" fillId="159" fontId="3" numFmtId="0" xfId="0">
      <alignment vertical="center" wrapText="true"/>
    </xf>
    <xf applyAlignment="true" applyBorder="false" applyFill="true" applyFont="true" applyNumberFormat="false" applyProtection="false" borderId="170" fillId="159" fontId="3" numFmtId="0" xfId="0">
      <alignment horizontal="center" vertical="center"/>
    </xf>
    <xf applyAlignment="true" applyBorder="false" applyFill="true" applyFont="true" applyNumberFormat="false" applyProtection="false" borderId="170" fillId="159" fontId="4" numFmtId="0" xfId="0">
      <alignment horizontal="center" vertical="center"/>
    </xf>
    <xf applyAlignment="true" applyBorder="false" applyFill="true" applyFont="true" applyNumberFormat="false" applyProtection="false" borderId="170" fillId="159" fontId="4" numFmtId="0" xfId="0">
      <alignment horizontal="center" vertical="center"/>
    </xf>
    <xf applyAlignment="true" applyBorder="false" applyFill="true" applyFont="true" applyNumberFormat="false" applyProtection="false" borderId="170" fillId="159" fontId="3" numFmtId="0" xfId="0">
      <alignment horizontal="center" vertical="center"/>
    </xf>
    <xf applyAlignment="true" applyBorder="false" applyFill="true" applyFont="true" applyNumberFormat="false" applyProtection="false" borderId="170" fillId="160" fontId="5" numFmtId="0" xfId="0">
      <alignment horizontal="center" vertical="center"/>
    </xf>
    <xf applyAlignment="true" applyBorder="false" applyFill="true" applyFont="true" applyNumberFormat="false" applyProtection="false" borderId="170" fillId="160" fontId="3" numFmtId="0" xfId="0">
      <alignment vertical="center" wrapText="true"/>
    </xf>
    <xf applyAlignment="true" applyBorder="false" applyFill="true" applyFont="true" applyNumberFormat="false" applyProtection="false" borderId="170" fillId="160" fontId="3" numFmtId="0" xfId="0">
      <alignment horizontal="center" vertical="center"/>
    </xf>
    <xf applyAlignment="true" applyBorder="false" applyFill="true" applyFont="true" applyNumberFormat="false" applyProtection="false" borderId="170" fillId="160" fontId="4" numFmtId="0" xfId="0">
      <alignment horizontal="center" vertical="center"/>
    </xf>
    <xf applyAlignment="true" applyBorder="false" applyFill="true" applyFont="true" applyNumberFormat="false" applyProtection="false" borderId="170" fillId="160" fontId="3" numFmtId="0" xfId="0">
      <alignment horizontal="center" vertical="center"/>
    </xf>
    <xf applyAlignment="true" applyBorder="false" applyFill="true" applyFont="true" applyNumberFormat="false" applyProtection="false" borderId="170" fillId="153" fontId="3" numFmtId="0" xfId="0">
      <alignment horizontal="left" vertical="center" wrapText="true"/>
    </xf>
    <xf applyAlignment="true" applyBorder="false" applyFill="true" applyFont="true" applyNumberFormat="false" applyProtection="false" borderId="0" fillId="156" fontId="5" numFmtId="0" xfId="0">
      <alignment horizontal="center" vertical="center" wrapText="true"/>
    </xf>
    <xf applyAlignment="true" applyBorder="false" applyFill="true" applyFont="true" applyNumberFormat="false" applyProtection="false" borderId="170" fillId="156" fontId="3" numFmtId="0" xfId="0">
      <alignment horizontal="left" vertical="center" wrapText="true"/>
    </xf>
    <xf applyAlignment="true" applyBorder="false" applyFill="true" applyFont="true" applyNumberFormat="false" applyProtection="false" borderId="170" fillId="161" fontId="3" numFmtId="0" xfId="0">
      <alignment horizontal="center" vertical="center" wrapText="true"/>
    </xf>
    <xf applyAlignment="true" applyBorder="false" applyFill="true" applyFont="true" applyNumberFormat="false" applyProtection="false" borderId="170" fillId="161" fontId="3" numFmtId="0" xfId="0">
      <alignment horizontal="left" vertical="center" wrapText="true"/>
    </xf>
    <xf applyAlignment="true" applyBorder="false" applyFill="true" applyFont="true" applyNumberFormat="false" applyProtection="false" borderId="170" fillId="161" fontId="3" numFmtId="0" xfId="0">
      <alignment horizontal="center" vertical="center"/>
    </xf>
    <xf applyAlignment="true" applyBorder="false" applyFill="true" applyFont="true" applyNumberFormat="false" applyProtection="false" borderId="170" fillId="161" fontId="4" numFmtId="0" xfId="0">
      <alignment horizontal="center" vertical="center"/>
    </xf>
    <xf applyAlignment="true" applyBorder="false" applyFill="true" applyFont="true" applyNumberFormat="false" applyProtection="false" borderId="170" fillId="161" fontId="4" numFmtId="0" xfId="0">
      <alignment horizontal="center" vertical="center"/>
    </xf>
    <xf applyAlignment="true" applyBorder="false" applyFill="true" applyFont="true" applyNumberFormat="false" applyProtection="false" borderId="171" fillId="161" fontId="5" numFmtId="0" xfId="0">
      <alignment horizontal="center" vertical="center"/>
    </xf>
    <xf applyAlignment="true" applyBorder="false" applyFill="true" applyFont="true" applyNumberFormat="false" applyProtection="false" borderId="171" fillId="153" fontId="5" numFmtId="0" xfId="0">
      <alignment horizontal="center" vertical="center"/>
    </xf>
    <xf applyAlignment="true" applyBorder="false" applyFill="true" applyFont="true" applyNumberFormat="false" applyProtection="false" borderId="170" fillId="159" fontId="3" numFmtId="0" xfId="0">
      <alignment horizontal="left" vertical="center" wrapText="true"/>
    </xf>
    <xf applyAlignment="true" applyBorder="false" applyFill="true" applyFont="true" applyNumberFormat="false" applyProtection="false" borderId="170" fillId="159" fontId="3" numFmtId="0" xfId="0">
      <alignment horizontal="center" vertical="center"/>
    </xf>
    <xf applyAlignment="true" applyBorder="false" applyFill="true" applyFont="true" applyNumberFormat="false" applyProtection="false" borderId="171" fillId="159" fontId="5" numFmtId="0" xfId="0">
      <alignment horizontal="center" vertical="center"/>
    </xf>
    <xf applyAlignment="true" applyBorder="false" applyFill="true" applyFont="true" applyNumberFormat="false" applyProtection="false" borderId="170" fillId="162" fontId="3" numFmtId="0" xfId="0">
      <alignment horizontal="center" vertical="center" wrapText="true"/>
    </xf>
    <xf applyAlignment="true" applyBorder="false" applyFill="true" applyFont="true" applyNumberFormat="false" applyProtection="false" borderId="170" fillId="162" fontId="3" numFmtId="0" xfId="0">
      <alignment horizontal="left" vertical="center" wrapText="true"/>
    </xf>
    <xf applyAlignment="true" applyBorder="false" applyFill="true" applyFont="true" applyNumberFormat="false" applyProtection="false" borderId="170" fillId="162" fontId="3" numFmtId="0" xfId="0">
      <alignment horizontal="center" vertical="center"/>
    </xf>
    <xf applyAlignment="true" applyBorder="false" applyFill="true" applyFont="true" applyNumberFormat="false" applyProtection="false" borderId="170" fillId="162" fontId="4" numFmtId="0" xfId="0">
      <alignment horizontal="center" vertical="center"/>
    </xf>
    <xf applyAlignment="true" applyBorder="false" applyFill="true" applyFont="true" applyNumberFormat="false" applyProtection="false" borderId="170" fillId="162" fontId="4" numFmtId="0" xfId="0">
      <alignment horizontal="center" vertical="center"/>
    </xf>
    <xf applyAlignment="true" applyBorder="false" applyFill="true" applyFont="true" applyNumberFormat="false" applyProtection="false" borderId="171" fillId="162" fontId="5" numFmtId="0" xfId="0">
      <alignment horizontal="center" vertical="center"/>
    </xf>
    <xf applyAlignment="true" applyBorder="false" applyFill="true" applyFont="true" applyNumberFormat="false" applyProtection="false" borderId="170" fillId="163" fontId="3" numFmtId="0" xfId="0">
      <alignment horizontal="center" vertical="center" wrapText="true"/>
    </xf>
    <xf applyAlignment="true" applyBorder="false" applyFill="true" applyFont="true" applyNumberFormat="false" applyProtection="false" borderId="170" fillId="163" fontId="3" numFmtId="0" xfId="0">
      <alignment horizontal="left" vertical="center" wrapText="true"/>
    </xf>
    <xf applyAlignment="true" applyBorder="false" applyFill="true" applyFont="true" applyNumberFormat="false" applyProtection="false" borderId="170" fillId="163" fontId="3" numFmtId="0" xfId="0">
      <alignment horizontal="center" vertical="center"/>
    </xf>
    <xf applyAlignment="true" applyBorder="false" applyFill="true" applyFont="true" applyNumberFormat="false" applyProtection="false" borderId="170" fillId="163" fontId="4" numFmtId="0" xfId="0">
      <alignment horizontal="center" vertical="center"/>
    </xf>
    <xf applyAlignment="true" applyBorder="false" applyFill="true" applyFont="true" applyNumberFormat="false" applyProtection="false" borderId="170" fillId="163" fontId="4" numFmtId="0" xfId="0">
      <alignment horizontal="center" vertical="center"/>
    </xf>
    <xf applyAlignment="true" applyBorder="false" applyFill="true" applyFont="true" applyNumberFormat="false" applyProtection="false" borderId="171" fillId="163" fontId="5" numFmtId="0" xfId="0">
      <alignment horizontal="center" vertical="center"/>
    </xf>
    <xf applyAlignment="true" applyBorder="false" applyFill="true" applyFont="true" applyNumberFormat="false" applyProtection="false" borderId="170" fillId="158" fontId="3" numFmtId="0" xfId="0">
      <alignment horizontal="left" vertical="center" wrapText="true"/>
    </xf>
    <xf applyAlignment="true" applyBorder="false" applyFill="true" applyFont="true" applyNumberFormat="false" applyProtection="false" borderId="171" fillId="158" fontId="5" numFmtId="0" xfId="0">
      <alignment horizontal="center" vertical="center"/>
    </xf>
    <xf applyAlignment="true" applyBorder="false" applyFill="true" applyFont="true" applyNumberFormat="false" applyProtection="false" borderId="170" fillId="154" fontId="3" numFmtId="0" xfId="0">
      <alignment horizontal="left" vertical="center" wrapText="true"/>
    </xf>
    <xf applyAlignment="true" applyBorder="false" applyFill="true" applyFont="true" applyNumberFormat="false" applyProtection="false" borderId="171" fillId="154"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70" fillId="155" fontId="3" numFmtId="0" xfId="0">
      <alignment horizontal="left" vertical="center" wrapText="true"/>
    </xf>
    <xf applyAlignment="true" applyBorder="false" applyFill="true" applyFont="true" applyNumberFormat="false" applyProtection="false" borderId="171" fillId="155" fontId="5" numFmtId="0" xfId="0">
      <alignment horizontal="center" vertical="center"/>
    </xf>
    <xf applyAlignment="true" applyBorder="false" applyFill="true" applyFont="true" applyNumberFormat="false" applyProtection="false" borderId="171" fillId="156" fontId="5" numFmtId="0" xfId="0">
      <alignment horizontal="center" vertical="center" wrapText="true"/>
    </xf>
    <xf applyAlignment="true" applyBorder="false" applyFill="true" applyFont="true" applyNumberFormat="false" applyProtection="false" borderId="171" fillId="156" fontId="5" numFmtId="0" xfId="0">
      <alignment horizontal="left" vertical="center" wrapText="true"/>
    </xf>
    <xf applyAlignment="true" applyBorder="false" applyFill="true" applyFont="true" applyNumberFormat="false" applyProtection="false" borderId="171" fillId="156" fontId="5" numFmtId="0" xfId="0">
      <alignment horizontal="center" vertical="center"/>
    </xf>
    <xf applyAlignment="true" applyBorder="false" applyFill="true" applyFont="true" applyNumberFormat="false" applyProtection="false" borderId="171" fillId="156" fontId="2" numFmtId="0" xfId="0">
      <alignment horizontal="center" vertical="center"/>
    </xf>
    <xf applyAlignment="true" applyBorder="false" applyFill="true" applyFont="true" applyNumberFormat="false" applyProtection="false" borderId="171" fillId="156" fontId="2" numFmtId="0" xfId="0">
      <alignment horizontal="center" vertical="center"/>
    </xf>
    <xf applyAlignment="true" applyBorder="false" applyFill="true" applyFont="true" applyNumberFormat="false" applyProtection="false" borderId="171" fillId="153" fontId="5" numFmtId="0" xfId="0">
      <alignment horizontal="center" vertical="center" wrapText="true"/>
    </xf>
    <xf applyAlignment="true" applyBorder="false" applyFill="true" applyFont="true" applyNumberFormat="false" applyProtection="false" borderId="171" fillId="153" fontId="5" numFmtId="0" xfId="0">
      <alignment horizontal="left" vertical="center" wrapText="true"/>
    </xf>
    <xf applyAlignment="true" applyBorder="false" applyFill="true" applyFont="true" applyNumberFormat="false" applyProtection="false" borderId="171" fillId="153" fontId="5" numFmtId="0" xfId="0">
      <alignment horizontal="center" vertical="center"/>
    </xf>
    <xf applyAlignment="true" applyBorder="false" applyFill="true" applyFont="true" applyNumberFormat="false" applyProtection="false" borderId="171" fillId="153" fontId="2" numFmtId="0" xfId="0">
      <alignment horizontal="center" vertical="center"/>
    </xf>
    <xf applyAlignment="true" applyBorder="false" applyFill="true" applyFont="true" applyNumberFormat="false" applyProtection="false" borderId="171" fillId="153" fontId="2" numFmtId="0" xfId="0">
      <alignment vertical="center"/>
    </xf>
    <xf applyAlignment="true" applyBorder="false" applyFill="true" applyFont="true" applyNumberFormat="false" applyProtection="false" borderId="171" fillId="159" fontId="5" numFmtId="0" xfId="0">
      <alignment horizontal="center" vertical="center" wrapText="true"/>
    </xf>
    <xf applyAlignment="true" applyBorder="false" applyFill="true" applyFont="true" applyNumberFormat="false" applyProtection="false" borderId="171" fillId="159" fontId="5" numFmtId="0" xfId="0">
      <alignment horizontal="left" vertical="center" wrapText="true"/>
    </xf>
    <xf applyAlignment="true" applyBorder="false" applyFill="true" applyFont="true" applyNumberFormat="false" applyProtection="false" borderId="171" fillId="159" fontId="5" numFmtId="0" xfId="0">
      <alignment horizontal="center" vertical="center"/>
    </xf>
    <xf applyAlignment="true" applyBorder="false" applyFill="true" applyFont="true" applyNumberFormat="false" applyProtection="false" borderId="171" fillId="159" fontId="2" numFmtId="0" xfId="0">
      <alignment horizontal="center" vertical="center"/>
    </xf>
    <xf applyAlignment="true" applyBorder="false" applyFill="true" applyFont="true" applyNumberFormat="false" applyProtection="false" borderId="171" fillId="159" fontId="2" numFmtId="0" xfId="0">
      <alignment horizontal="center" vertical="center"/>
    </xf>
    <xf applyAlignment="true" applyBorder="false" applyFill="true" applyFont="true" applyNumberFormat="false" applyProtection="false" borderId="171" fillId="162" fontId="5" numFmtId="0" xfId="0">
      <alignment horizontal="center" vertical="center" wrapText="true"/>
    </xf>
    <xf applyAlignment="true" applyBorder="false" applyFill="true" applyFont="true" applyNumberFormat="false" applyProtection="false" borderId="171" fillId="162" fontId="5" numFmtId="0" xfId="0">
      <alignment horizontal="left" vertical="center" wrapText="true"/>
    </xf>
    <xf applyAlignment="true" applyBorder="false" applyFill="true" applyFont="true" applyNumberFormat="false" applyProtection="false" borderId="171" fillId="162" fontId="5" numFmtId="0" xfId="0">
      <alignment horizontal="center" vertical="center"/>
    </xf>
    <xf applyAlignment="true" applyBorder="false" applyFill="true" applyFont="true" applyNumberFormat="false" applyProtection="false" borderId="171" fillId="162" fontId="2" numFmtId="0" xfId="0">
      <alignment horizontal="center" vertical="center"/>
    </xf>
    <xf applyAlignment="true" applyBorder="false" applyFill="true" applyFont="true" applyNumberFormat="false" applyProtection="false" borderId="171" fillId="162" fontId="2" numFmtId="0" xfId="0">
      <alignment horizontal="center" vertical="center"/>
    </xf>
    <xf applyAlignment="true" applyBorder="false" applyFill="true" applyFont="true" applyNumberFormat="false" applyProtection="false" borderId="171" fillId="163" fontId="5" numFmtId="0" xfId="0">
      <alignment horizontal="center" vertical="center" wrapText="true"/>
    </xf>
    <xf applyAlignment="true" applyBorder="false" applyFill="true" applyFont="true" applyNumberFormat="false" applyProtection="false" borderId="171" fillId="163" fontId="5" numFmtId="0" xfId="0">
      <alignment horizontal="left" vertical="center" wrapText="true"/>
    </xf>
    <xf applyAlignment="true" applyBorder="false" applyFill="true" applyFont="true" applyNumberFormat="false" applyProtection="false" borderId="171" fillId="163" fontId="5" numFmtId="0" xfId="0">
      <alignment horizontal="center" vertical="center"/>
    </xf>
    <xf applyAlignment="true" applyBorder="false" applyFill="true" applyFont="true" applyNumberFormat="false" applyProtection="false" borderId="171" fillId="163" fontId="2" numFmtId="0" xfId="0">
      <alignment horizontal="center" vertical="center"/>
    </xf>
    <xf applyAlignment="true" applyBorder="false" applyFill="true" applyFont="true" applyNumberFormat="false" applyProtection="false" borderId="171" fillId="163" fontId="2" numFmtId="0" xfId="0">
      <alignment horizontal="center" vertical="center"/>
    </xf>
    <xf applyAlignment="true" applyBorder="false" applyFill="true" applyFont="true" applyNumberFormat="false" applyProtection="false" borderId="171" fillId="158" fontId="5" numFmtId="0" xfId="0">
      <alignment horizontal="center" vertical="center" wrapText="true"/>
    </xf>
    <xf applyAlignment="true" applyBorder="false" applyFill="true" applyFont="true" applyNumberFormat="false" applyProtection="false" borderId="171" fillId="158" fontId="5" numFmtId="0" xfId="0">
      <alignment horizontal="left" vertical="center" wrapText="true"/>
    </xf>
    <xf applyAlignment="true" applyBorder="false" applyFill="true" applyFont="true" applyNumberFormat="false" applyProtection="false" borderId="171" fillId="158" fontId="5" numFmtId="0" xfId="0">
      <alignment horizontal="center" vertical="center"/>
    </xf>
    <xf applyAlignment="true" applyBorder="false" applyFill="true" applyFont="true" applyNumberFormat="false" applyProtection="false" borderId="171" fillId="158" fontId="2" numFmtId="0" xfId="0">
      <alignment horizontal="center" vertical="center"/>
    </xf>
    <xf applyAlignment="true" applyBorder="false" applyFill="true" applyFont="true" applyNumberFormat="false" applyProtection="false" borderId="171" fillId="158" fontId="2" numFmtId="0" xfId="0">
      <alignment horizontal="center" vertical="center"/>
    </xf>
    <xf applyAlignment="true" applyBorder="false" applyFill="true" applyFont="true" applyNumberFormat="false" applyProtection="false" borderId="171" fillId="155" fontId="5" numFmtId="0" xfId="0">
      <alignment horizontal="center" vertical="center" wrapText="true"/>
    </xf>
    <xf applyAlignment="true" applyBorder="false" applyFill="true" applyFont="true" applyNumberFormat="false" applyProtection="false" borderId="171" fillId="155" fontId="5" numFmtId="0" xfId="0">
      <alignment horizontal="left" vertical="center" wrapText="true"/>
    </xf>
    <xf applyAlignment="true" applyBorder="false" applyFill="true" applyFont="true" applyNumberFormat="false" applyProtection="false" borderId="171" fillId="155" fontId="5" numFmtId="0" xfId="0">
      <alignment horizontal="center" vertical="center"/>
    </xf>
    <xf applyAlignment="true" applyBorder="false" applyFill="true" applyFont="true" applyNumberFormat="false" applyProtection="false" borderId="171" fillId="155" fontId="2" numFmtId="0" xfId="0">
      <alignment horizontal="center" vertical="center"/>
    </xf>
    <xf applyAlignment="true" applyBorder="false" applyFill="true" applyFont="true" applyNumberFormat="false" applyProtection="false" borderId="171" fillId="155" fontId="2" numFmtId="0" xfId="0">
      <alignment horizontal="center" vertical="center"/>
    </xf>
    <xf applyAlignment="true" applyBorder="false" applyFill="true" applyFont="true" applyNumberFormat="false" applyProtection="false" borderId="171" fillId="156" fontId="5" numFmtId="0" xfId="0">
      <alignment horizontal="center" vertical="center"/>
    </xf>
    <xf applyAlignment="true" applyBorder="false" applyFill="false" applyFont="true" applyNumberFormat="false" applyProtection="false" borderId="171" fillId="0" fontId="2" numFmtId="0" xfId="0">
      <alignment horizontal="center" vertical="center" wrapText="true"/>
    </xf>
    <xf applyAlignment="true" applyBorder="false" applyFill="false" applyFont="true" applyNumberFormat="false" applyProtection="false" borderId="171" fillId="0" fontId="5" numFmtId="0" xfId="0">
      <alignment horizontal="center" vertical="center"/>
    </xf>
    <xf applyAlignment="true" applyBorder="false" applyFill="false" applyFont="true" applyNumberFormat="false" applyProtection="false" borderId="171" fillId="0" fontId="2" numFmtId="0" xfId="0">
      <alignment horizontal="center" vertical="center"/>
    </xf>
    <xf applyAlignment="true" applyBorder="false" applyFill="false" applyFont="true" applyNumberFormat="false" applyProtection="false" borderId="171" fillId="0" fontId="2" numFmtId="0" xfId="0">
      <alignment vertical="center"/>
    </xf>
    <xf applyAlignment="true" applyBorder="false" applyFill="true" applyFont="true" applyNumberFormat="false" applyProtection="false" borderId="170" fillId="160" fontId="5" numFmtId="0" xfId="0">
      <alignment horizontal="center" vertical="center" wrapText="true"/>
    </xf>
    <xf applyAlignment="true" applyBorder="false" applyFill="true" applyFont="true" applyNumberFormat="false" applyProtection="false" borderId="170" fillId="160" fontId="4" numFmtId="0" xfId="0">
      <alignment horizontal="center" vertical="center"/>
    </xf>
    <xf applyAlignment="true" applyBorder="false" applyFill="true" applyFont="true" applyNumberFormat="false" applyProtection="false" borderId="170" fillId="155" fontId="5" numFmtId="0" xfId="0">
      <alignment horizontal="center" vertical="center"/>
    </xf>
    <xf applyAlignment="true" applyBorder="false" applyFill="true" applyFont="true" applyNumberFormat="false" applyProtection="false" borderId="170" fillId="156" fontId="5" numFmtId="0" xfId="0">
      <alignment horizontal="center" vertical="center" wrapText="true"/>
    </xf>
    <xf applyAlignment="true" applyBorder="false" applyFill="true" applyFont="true" applyNumberFormat="false" applyProtection="false" borderId="171" fillId="153" fontId="5" numFmtId="0" xfId="0">
      <alignment horizontal="left" vertical="center" wrapText="true"/>
    </xf>
    <xf applyAlignment="true" applyBorder="false" applyFill="true" applyFont="true" applyNumberFormat="false" applyProtection="false" borderId="171" fillId="153" fontId="2" numFmtId="0" xfId="0">
      <alignment horizontal="center" vertical="center"/>
    </xf>
    <xf applyAlignment="true" applyBorder="false" applyFill="true" applyFont="true" applyNumberFormat="false" applyProtection="false" borderId="171" fillId="159" fontId="5" numFmtId="0" xfId="0">
      <alignment horizontal="center" vertical="center"/>
    </xf>
    <xf applyAlignment="true" applyBorder="false" applyFill="true" applyFont="true" applyNumberFormat="false" applyProtection="false" borderId="170" fillId="157" fontId="4" numFmtId="0" xfId="0">
      <alignment vertical="center"/>
    </xf>
    <xf applyAlignment="true" applyBorder="false" applyFill="true" applyFont="true" applyNumberFormat="false" applyProtection="false" borderId="170" fillId="159" fontId="3" numFmtId="0" xfId="0">
      <alignment horizontal="left"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171" fillId="161" fontId="2" numFmtId="0" xfId="0">
      <alignment horizontal="center" vertical="center"/>
    </xf>
    <xf applyAlignment="true" applyBorder="false" applyFill="true" applyFont="true" applyNumberFormat="false" applyProtection="false" borderId="170" fillId="157" fontId="4" numFmtId="0" xfId="0">
      <alignment vertical="center"/>
    </xf>
    <xf applyAlignment="true" applyBorder="false" applyFill="false" applyFont="true" applyNumberFormat="false" applyProtection="false" borderId="170" fillId="0" fontId="4" numFmtId="0" xfId="0">
      <alignment vertical="center"/>
    </xf>
    <xf applyAlignment="true" applyBorder="false" applyFill="false" applyFont="true" applyNumberFormat="false" applyProtection="false" borderId="172" fillId="0" fontId="4" numFmtId="0" xfId="0">
      <alignment vertical="center"/>
    </xf>
    <xf applyAlignment="true" applyBorder="false" applyFill="false" applyFont="true" applyNumberFormat="false" applyProtection="false" borderId="172" fillId="0" fontId="4" numFmtId="0" xfId="0">
      <alignment vertical="center"/>
    </xf>
    <xf applyAlignment="true" applyBorder="false" applyFill="false" applyFont="true" applyNumberFormat="false" applyProtection="false" borderId="173" fillId="0" fontId="2" numFmtId="0" xfId="0">
      <alignment vertical="center"/>
    </xf>
    <xf applyAlignment="true" applyBorder="false" applyFill="false" applyFont="true" applyNumberFormat="false" applyProtection="false" borderId="174" fillId="0" fontId="2" numFmtId="0" xfId="0">
      <alignment vertical="center"/>
    </xf>
    <xf applyAlignment="true" applyBorder="false" applyFill="false" applyFont="true" applyNumberFormat="false" applyProtection="false" borderId="175" fillId="0" fontId="4" numFmtId="0" xfId="0">
      <alignment vertical="center"/>
    </xf>
    <xf applyAlignment="true" applyBorder="false" applyFill="false" applyFont="true" applyNumberFormat="false" applyProtection="false" borderId="176" fillId="0" fontId="4" numFmtId="0" xfId="0">
      <alignment vertical="center"/>
    </xf>
    <xf applyAlignment="true" applyBorder="false" applyFill="false" applyFont="true" applyNumberFormat="false" applyProtection="false" borderId="177" fillId="0" fontId="2" numFmtId="0" xfId="0">
      <alignment vertical="center"/>
    </xf>
    <xf applyAlignment="true" applyBorder="false" applyFill="false" applyFont="true" applyNumberFormat="false" applyProtection="false" borderId="178" fillId="0" fontId="2" numFmtId="0" xfId="0">
      <alignment vertical="center"/>
    </xf>
    <xf applyAlignment="true" applyBorder="false" applyFill="false" applyFont="true" applyNumberFormat="false" applyProtection="false" borderId="179" fillId="0" fontId="4" numFmtId="0" xfId="0">
      <alignment vertical="center"/>
    </xf>
    <xf applyAlignment="true" applyBorder="false" applyFill="false" applyFont="true" applyNumberFormat="false" applyProtection="false" borderId="180" fillId="0" fontId="4" numFmtId="0" xfId="0">
      <alignment vertical="center"/>
    </xf>
    <xf applyAlignment="true" applyBorder="false" applyFill="false" applyFont="true" applyNumberFormat="false" applyProtection="false" borderId="180" fillId="0" fontId="2" numFmtId="0" xfId="0">
      <alignment vertical="center"/>
    </xf>
    <xf applyAlignment="true" applyBorder="false" applyFill="false" applyFont="true" applyNumberFormat="false" applyProtection="false" borderId="180" fillId="0" fontId="4" numFmtId="0" xfId="0">
      <alignment vertical="center"/>
    </xf>
    <xf applyAlignment="true" applyBorder="false" applyFill="false" applyFont="true" applyNumberFormat="false" applyProtection="false" borderId="180" fillId="0" fontId="2" numFmtId="0" xfId="0">
      <alignment vertical="center"/>
    </xf>
    <xf applyAlignment="true" applyBorder="false" applyFill="false" applyFont="true" applyNumberFormat="false" applyProtection="false" borderId="181" fillId="0" fontId="4" numFmtId="0" xfId="0">
      <alignment vertical="center"/>
    </xf>
    <xf applyAlignment="true" applyBorder="false" applyFill="false" applyFont="true" applyNumberFormat="false" applyProtection="false" borderId="182" fillId="0" fontId="4" numFmtId="0" xfId="0">
      <alignment vertical="center"/>
    </xf>
    <xf applyAlignment="true" applyBorder="false" applyFill="false" applyFont="true" applyNumberFormat="false" applyProtection="false" borderId="183" fillId="0" fontId="1" numFmtId="0" xfId="0">
      <alignment horizontal="center" vertical="center" wrapText="true"/>
    </xf>
    <xf applyAlignment="true" applyBorder="false" applyFill="false" applyFont="true" applyNumberFormat="false" applyProtection="false" borderId="183" fillId="0" fontId="1" numFmtId="0" xfId="0">
      <alignment horizontal="center" vertical="center" wrapText="true"/>
    </xf>
    <xf applyAlignment="true" applyBorder="false" applyFill="false" applyFont="true" applyNumberFormat="true" applyProtection="false" borderId="183" fillId="0" fontId="1" numFmtId="182" xfId="0">
      <alignment horizontal="center" vertical="center" wrapText="true"/>
    </xf>
    <xf applyAlignment="true" applyBorder="false" applyFill="false" applyFont="true" applyNumberFormat="false" applyProtection="false" borderId="184"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185" fillId="0" fontId="6" numFmtId="0" xfId="0">
      <alignment horizontal="left" vertical="center" wrapText="true"/>
    </xf>
    <xf applyAlignment="true" applyBorder="false" applyFill="true" applyFont="true" applyNumberFormat="false" applyProtection="false" borderId="186" fillId="164" fontId="3" numFmtId="0" xfId="0">
      <alignment horizontal="center" vertical="center" wrapText="true"/>
    </xf>
    <xf applyAlignment="true" applyBorder="false" applyFill="false" applyFont="true" applyNumberFormat="false" applyProtection="false" borderId="186" fillId="0" fontId="3" numFmtId="0" xfId="0">
      <alignment horizontal="center" vertical="center"/>
    </xf>
    <xf applyAlignment="true" applyBorder="false" applyFill="true" applyFont="true" applyNumberFormat="false" applyProtection="false" borderId="186" fillId="165" fontId="3" numFmtId="0" xfId="0">
      <alignment horizontal="center" vertical="center" wrapText="true"/>
    </xf>
    <xf applyAlignment="true" applyBorder="false" applyFill="true" applyFont="true" applyNumberFormat="false" applyProtection="false" borderId="186" fillId="165" fontId="3" numFmtId="0" xfId="0">
      <alignment vertical="center" wrapText="true"/>
    </xf>
    <xf applyAlignment="true" applyBorder="false" applyFill="true" applyFont="true" applyNumberFormat="false" applyProtection="false" borderId="186" fillId="165" fontId="3" numFmtId="0" xfId="0">
      <alignment horizontal="center" vertical="center"/>
    </xf>
    <xf applyAlignment="true" applyBorder="false" applyFill="true" applyFont="true" applyNumberFormat="false" applyProtection="false" borderId="186" fillId="165" fontId="4" numFmtId="0" xfId="0">
      <alignment horizontal="center" vertical="center"/>
    </xf>
    <xf applyAlignment="true" applyBorder="false" applyFill="true" applyFont="true" applyNumberFormat="false" applyProtection="false" borderId="186" fillId="165"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86" fillId="166" fontId="3" numFmtId="0" xfId="0">
      <alignment horizontal="center" vertical="center" wrapText="true"/>
    </xf>
    <xf applyAlignment="true" applyBorder="false" applyFill="true" applyFont="true" applyNumberFormat="false" applyProtection="false" borderId="186" fillId="166" fontId="3" numFmtId="0" xfId="0">
      <alignment vertical="center" wrapText="true"/>
    </xf>
    <xf applyAlignment="true" applyBorder="false" applyFill="true" applyFont="true" applyNumberFormat="false" applyProtection="false" borderId="186" fillId="166" fontId="3" numFmtId="0" xfId="0">
      <alignment horizontal="center" vertical="center"/>
    </xf>
    <xf applyAlignment="true" applyBorder="false" applyFill="true" applyFont="true" applyNumberFormat="false" applyProtection="false" borderId="186" fillId="166" fontId="4" numFmtId="0" xfId="0">
      <alignment horizontal="center" vertical="center"/>
    </xf>
    <xf applyAlignment="true" applyBorder="false" applyFill="true" applyFont="true" applyNumberFormat="false" applyProtection="false" borderId="186" fillId="166" fontId="3" numFmtId="0" xfId="0">
      <alignment horizontal="center" vertical="center"/>
    </xf>
    <xf applyAlignment="true" applyBorder="false" applyFill="true" applyFont="true" applyNumberFormat="false" applyProtection="false" borderId="186" fillId="167" fontId="3" numFmtId="0" xfId="0">
      <alignment horizontal="center" vertical="center" wrapText="true"/>
    </xf>
    <xf applyAlignment="true" applyBorder="false" applyFill="true" applyFont="true" applyNumberFormat="false" applyProtection="false" borderId="186" fillId="167" fontId="3" numFmtId="0" xfId="0">
      <alignment vertical="center" wrapText="true"/>
    </xf>
    <xf applyAlignment="true" applyBorder="false" applyFill="true" applyFont="true" applyNumberFormat="false" applyProtection="false" borderId="186" fillId="167" fontId="3" numFmtId="0" xfId="0">
      <alignment horizontal="center" vertical="center"/>
    </xf>
    <xf applyAlignment="true" applyBorder="false" applyFill="true" applyFont="true" applyNumberFormat="false" applyProtection="false" borderId="186" fillId="167" fontId="4" numFmtId="0" xfId="0">
      <alignment horizontal="center" vertical="center"/>
    </xf>
    <xf applyAlignment="true" applyBorder="false" applyFill="true" applyFont="true" applyNumberFormat="false" applyProtection="false" borderId="186" fillId="167" fontId="4" numFmtId="0" xfId="0">
      <alignment horizontal="center" vertical="center"/>
    </xf>
    <xf applyAlignment="true" applyBorder="false" applyFill="true" applyFont="true" applyNumberFormat="false" applyProtection="false" borderId="186" fillId="167" fontId="3" numFmtId="0" xfId="0">
      <alignment horizontal="center" vertical="center"/>
    </xf>
    <xf applyAlignment="true" applyBorder="false" applyFill="true" applyFont="true" applyNumberFormat="false" applyProtection="false" borderId="186" fillId="164" fontId="3" numFmtId="0" xfId="0">
      <alignment vertical="center" wrapText="true"/>
    </xf>
    <xf applyAlignment="true" applyBorder="false" applyFill="true" applyFont="true" applyNumberFormat="false" applyProtection="false" borderId="186" fillId="164" fontId="3" numFmtId="0" xfId="0">
      <alignment horizontal="center" vertical="center"/>
    </xf>
    <xf applyAlignment="true" applyBorder="false" applyFill="true" applyFont="true" applyNumberFormat="false" applyProtection="false" borderId="186" fillId="164" fontId="4" numFmtId="0" xfId="0">
      <alignment horizontal="center" vertical="center"/>
    </xf>
    <xf applyAlignment="true" applyBorder="false" applyFill="true" applyFont="true" applyNumberFormat="false" applyProtection="false" borderId="186" fillId="164" fontId="3" numFmtId="0" xfId="0">
      <alignment horizontal="center" vertical="center"/>
    </xf>
    <xf applyAlignment="true" applyBorder="false" applyFill="true" applyFont="true" applyNumberFormat="false" applyProtection="false" borderId="186" fillId="168" fontId="3" numFmtId="0" xfId="0">
      <alignment horizontal="center" vertical="center" wrapText="true"/>
    </xf>
    <xf applyAlignment="true" applyBorder="false" applyFill="true" applyFont="true" applyNumberFormat="false" applyProtection="false" borderId="186" fillId="168" fontId="3" numFmtId="0" xfId="0">
      <alignment horizontal="center" vertical="center"/>
    </xf>
    <xf applyAlignment="true" applyBorder="false" applyFill="true" applyFont="true" applyNumberFormat="false" applyProtection="false" borderId="186" fillId="168"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86"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86" fillId="0" fontId="4" numFmtId="0" xfId="0">
      <alignment horizontal="center" vertical="center" wrapText="true"/>
    </xf>
    <xf applyAlignment="true" applyBorder="false" applyFill="false" applyFont="true" applyNumberFormat="false" applyProtection="false" borderId="186" fillId="0" fontId="3" numFmtId="0" xfId="0">
      <alignment horizontal="center" vertical="center"/>
    </xf>
    <xf applyAlignment="true" applyBorder="false" applyFill="false" applyFont="true" applyNumberFormat="false" applyProtection="false" borderId="186" fillId="0" fontId="4" numFmtId="0" xfId="0">
      <alignment horizontal="center" vertical="center"/>
    </xf>
    <xf applyAlignment="true" applyBorder="false" applyFill="false" applyFont="true" applyNumberFormat="false" applyProtection="false" borderId="186"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86" fillId="169" fontId="3" numFmtId="0" xfId="0">
      <alignment horizontal="center" vertical="center" wrapText="true"/>
    </xf>
    <xf applyAlignment="true" applyBorder="false" applyFill="true" applyFont="true" applyNumberFormat="false" applyProtection="false" borderId="186" fillId="169" fontId="3" numFmtId="0" xfId="0">
      <alignment vertical="center" wrapText="true"/>
    </xf>
    <xf applyAlignment="true" applyBorder="false" applyFill="true" applyFont="true" applyNumberFormat="false" applyProtection="false" borderId="186" fillId="169" fontId="3" numFmtId="0" xfId="0">
      <alignment horizontal="center" vertical="center"/>
    </xf>
    <xf applyAlignment="true" applyBorder="false" applyFill="true" applyFont="true" applyNumberFormat="false" applyProtection="false" borderId="186" fillId="169" fontId="4" numFmtId="0" xfId="0">
      <alignment horizontal="center" vertical="center"/>
    </xf>
    <xf applyAlignment="true" applyBorder="false" applyFill="true" applyFont="true" applyNumberFormat="false" applyProtection="false" borderId="186" fillId="169" fontId="3" numFmtId="0" xfId="0">
      <alignment horizontal="center" vertical="center"/>
    </xf>
    <xf applyAlignment="true" applyBorder="false" applyFill="true" applyFont="true" applyNumberFormat="false" applyProtection="false" borderId="186" fillId="170" fontId="3" numFmtId="0" xfId="0">
      <alignment horizontal="center" vertical="center" wrapText="true"/>
    </xf>
    <xf applyAlignment="true" applyBorder="false" applyFill="true" applyFont="true" applyNumberFormat="false" applyProtection="false" borderId="186" fillId="170" fontId="3" numFmtId="0" xfId="0">
      <alignment vertical="center" wrapText="true"/>
    </xf>
    <xf applyAlignment="true" applyBorder="false" applyFill="true" applyFont="true" applyNumberFormat="false" applyProtection="false" borderId="186" fillId="170" fontId="3" numFmtId="0" xfId="0">
      <alignment horizontal="center" vertical="center"/>
    </xf>
    <xf applyAlignment="true" applyBorder="false" applyFill="true" applyFont="true" applyNumberFormat="false" applyProtection="false" borderId="186" fillId="170" fontId="4" numFmtId="0" xfId="0">
      <alignment horizontal="center" vertical="center"/>
    </xf>
    <xf applyAlignment="true" applyBorder="false" applyFill="true" applyFont="true" applyNumberFormat="false" applyProtection="false" borderId="186" fillId="170" fontId="3" numFmtId="0" xfId="0">
      <alignment horizontal="center" vertical="center"/>
    </xf>
    <xf applyAlignment="true" applyBorder="false" applyFill="true" applyFont="true" applyNumberFormat="false" applyProtection="false" borderId="186" fillId="171" fontId="5" numFmtId="0" xfId="0">
      <alignment horizontal="center" vertical="center"/>
    </xf>
    <xf applyAlignment="true" applyBorder="false" applyFill="true" applyFont="true" applyNumberFormat="false" applyProtection="false" borderId="186" fillId="171" fontId="3" numFmtId="0" xfId="0">
      <alignment vertical="center" wrapText="true"/>
    </xf>
    <xf applyAlignment="true" applyBorder="false" applyFill="true" applyFont="true" applyNumberFormat="false" applyProtection="false" borderId="186" fillId="171" fontId="3" numFmtId="0" xfId="0">
      <alignment horizontal="center" vertical="center"/>
    </xf>
    <xf applyAlignment="true" applyBorder="false" applyFill="true" applyFont="true" applyNumberFormat="false" applyProtection="false" borderId="186" fillId="171" fontId="4" numFmtId="0" xfId="0">
      <alignment horizontal="center" vertical="center"/>
    </xf>
    <xf applyAlignment="true" applyBorder="false" applyFill="true" applyFont="true" applyNumberFormat="false" applyProtection="false" borderId="186" fillId="171" fontId="3" numFmtId="0" xfId="0">
      <alignment horizontal="center" vertical="center"/>
    </xf>
    <xf applyAlignment="true" applyBorder="false" applyFill="true" applyFont="true" applyNumberFormat="false" applyProtection="false" borderId="186" fillId="164" fontId="3" numFmtId="0" xfId="0">
      <alignment horizontal="left" vertical="center" wrapText="true"/>
    </xf>
    <xf applyAlignment="true" applyBorder="false" applyFill="true" applyFont="true" applyNumberFormat="false" applyProtection="false" borderId="0" fillId="167" fontId="5" numFmtId="0" xfId="0">
      <alignment horizontal="center" vertical="center" wrapText="true"/>
    </xf>
    <xf applyAlignment="true" applyBorder="false" applyFill="true" applyFont="true" applyNumberFormat="false" applyProtection="false" borderId="186" fillId="167" fontId="3" numFmtId="0" xfId="0">
      <alignment horizontal="left" vertical="center" wrapText="true"/>
    </xf>
    <xf applyAlignment="true" applyBorder="false" applyFill="true" applyFont="true" applyNumberFormat="false" applyProtection="false" borderId="186" fillId="172" fontId="3" numFmtId="0" xfId="0">
      <alignment horizontal="center" vertical="center" wrapText="true"/>
    </xf>
    <xf applyAlignment="true" applyBorder="false" applyFill="true" applyFont="true" applyNumberFormat="false" applyProtection="false" borderId="186" fillId="172" fontId="3" numFmtId="0" xfId="0">
      <alignment horizontal="left" vertical="center" wrapText="true"/>
    </xf>
    <xf applyAlignment="true" applyBorder="false" applyFill="true" applyFont="true" applyNumberFormat="false" applyProtection="false" borderId="186" fillId="172" fontId="3" numFmtId="0" xfId="0">
      <alignment horizontal="center" vertical="center"/>
    </xf>
    <xf applyAlignment="true" applyBorder="false" applyFill="true" applyFont="true" applyNumberFormat="false" applyProtection="false" borderId="186" fillId="172" fontId="4" numFmtId="0" xfId="0">
      <alignment horizontal="center" vertical="center"/>
    </xf>
    <xf applyAlignment="true" applyBorder="false" applyFill="true" applyFont="true" applyNumberFormat="false" applyProtection="false" borderId="187" fillId="172" fontId="5"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187" fillId="164" fontId="5" numFmtId="0" xfId="0">
      <alignment horizontal="center" vertical="center"/>
    </xf>
    <xf applyAlignment="true" applyBorder="false" applyFill="true" applyFont="true" applyNumberFormat="false" applyProtection="false" borderId="186" fillId="170" fontId="3" numFmtId="0" xfId="0">
      <alignment horizontal="left" vertical="center" wrapText="true"/>
    </xf>
    <xf applyAlignment="true" applyBorder="false" applyFill="true" applyFont="true" applyNumberFormat="false" applyProtection="false" borderId="187" fillId="170" fontId="5" numFmtId="0" xfId="0">
      <alignment horizontal="center" vertical="center"/>
    </xf>
    <xf applyAlignment="true" applyBorder="false" applyFill="true" applyFont="true" applyNumberFormat="false" applyProtection="false" borderId="186" fillId="173" fontId="3" numFmtId="0" xfId="0">
      <alignment horizontal="center" vertical="center" wrapText="true"/>
    </xf>
    <xf applyAlignment="true" applyBorder="false" applyFill="true" applyFont="true" applyNumberFormat="false" applyProtection="false" borderId="186" fillId="173" fontId="3" numFmtId="0" xfId="0">
      <alignment horizontal="left" vertical="center" wrapText="true"/>
    </xf>
    <xf applyAlignment="true" applyBorder="false" applyFill="true" applyFont="true" applyNumberFormat="false" applyProtection="false" borderId="186" fillId="173" fontId="3" numFmtId="0" xfId="0">
      <alignment horizontal="center" vertical="center"/>
    </xf>
    <xf applyAlignment="true" applyBorder="false" applyFill="true" applyFont="true" applyNumberFormat="false" applyProtection="false" borderId="186" fillId="173" fontId="4" numFmtId="0" xfId="0">
      <alignment horizontal="center" vertical="center"/>
    </xf>
    <xf applyAlignment="true" applyBorder="false" applyFill="true" applyFont="true" applyNumberFormat="false" applyProtection="false" borderId="187" fillId="173" fontId="5" numFmtId="0" xfId="0">
      <alignment horizontal="center" vertical="center"/>
    </xf>
    <xf applyAlignment="true" applyBorder="false" applyFill="true" applyFont="true" applyNumberFormat="false" applyProtection="false" borderId="186" fillId="174" fontId="3" numFmtId="0" xfId="0">
      <alignment horizontal="center" vertical="center" wrapText="true"/>
    </xf>
    <xf applyAlignment="true" applyBorder="false" applyFill="true" applyFont="true" applyNumberFormat="false" applyProtection="false" borderId="186" fillId="174" fontId="3" numFmtId="0" xfId="0">
      <alignment horizontal="left" vertical="center" wrapText="true"/>
    </xf>
    <xf applyAlignment="true" applyBorder="false" applyFill="true" applyFont="true" applyNumberFormat="false" applyProtection="false" borderId="186" fillId="174" fontId="3" numFmtId="0" xfId="0">
      <alignment horizontal="center" vertical="center"/>
    </xf>
    <xf applyAlignment="true" applyBorder="false" applyFill="true" applyFont="true" applyNumberFormat="false" applyProtection="false" borderId="186" fillId="174" fontId="4" numFmtId="0" xfId="0">
      <alignment horizontal="center" vertical="center"/>
    </xf>
    <xf applyAlignment="true" applyBorder="false" applyFill="true" applyFont="true" applyNumberFormat="false" applyProtection="false" borderId="187" fillId="174" fontId="5" numFmtId="0" xfId="0">
      <alignment horizontal="center" vertical="center"/>
    </xf>
    <xf applyAlignment="true" applyBorder="false" applyFill="true" applyFont="true" applyNumberFormat="false" applyProtection="false" borderId="186" fillId="169" fontId="3" numFmtId="0" xfId="0">
      <alignment horizontal="left" vertical="center" wrapText="true"/>
    </xf>
    <xf applyAlignment="true" applyBorder="false" applyFill="true" applyFont="true" applyNumberFormat="false" applyProtection="false" borderId="187" fillId="169" fontId="5" numFmtId="0" xfId="0">
      <alignment horizontal="center" vertical="center"/>
    </xf>
    <xf applyAlignment="true" applyBorder="false" applyFill="true" applyFont="true" applyNumberFormat="false" applyProtection="false" borderId="186" fillId="165" fontId="3" numFmtId="0" xfId="0">
      <alignment horizontal="left" vertical="center" wrapText="true"/>
    </xf>
    <xf applyAlignment="true" applyBorder="false" applyFill="true" applyFont="true" applyNumberFormat="false" applyProtection="false" borderId="187" fillId="165"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86" fillId="166" fontId="3" numFmtId="0" xfId="0">
      <alignment horizontal="left" vertical="center" wrapText="true"/>
    </xf>
    <xf applyAlignment="true" applyBorder="false" applyFill="true" applyFont="true" applyNumberFormat="false" applyProtection="false" borderId="187" fillId="166" fontId="5" numFmtId="0" xfId="0">
      <alignment horizontal="center" vertical="center"/>
    </xf>
    <xf applyAlignment="true" applyBorder="false" applyFill="true" applyFont="true" applyNumberFormat="false" applyProtection="false" borderId="187" fillId="167" fontId="5" numFmtId="0" xfId="0">
      <alignment horizontal="center" vertical="center" wrapText="true"/>
    </xf>
    <xf applyAlignment="true" applyBorder="false" applyFill="true" applyFont="true" applyNumberFormat="false" applyProtection="false" borderId="187" fillId="167" fontId="5" numFmtId="0" xfId="0">
      <alignment horizontal="left" vertical="center" wrapText="true"/>
    </xf>
    <xf applyAlignment="true" applyBorder="false" applyFill="true" applyFont="true" applyNumberFormat="false" applyProtection="false" borderId="187" fillId="167" fontId="5" numFmtId="0" xfId="0">
      <alignment horizontal="center" vertical="center"/>
    </xf>
    <xf applyAlignment="true" applyBorder="false" applyFill="true" applyFont="true" applyNumberFormat="false" applyProtection="false" borderId="187" fillId="167" fontId="2" numFmtId="0" xfId="0">
      <alignment horizontal="center" vertical="center"/>
    </xf>
    <xf applyAlignment="true" applyBorder="false" applyFill="true" applyFont="true" applyNumberFormat="false" applyProtection="false" borderId="187" fillId="164" fontId="5" numFmtId="0" xfId="0">
      <alignment horizontal="center" vertical="center" wrapText="true"/>
    </xf>
    <xf applyAlignment="true" applyBorder="false" applyFill="true" applyFont="true" applyNumberFormat="false" applyProtection="false" borderId="187" fillId="164" fontId="5" numFmtId="0" xfId="0">
      <alignment horizontal="left" vertical="center" wrapText="true"/>
    </xf>
    <xf applyAlignment="true" applyBorder="false" applyFill="true" applyFont="true" applyNumberFormat="false" applyProtection="false" borderId="187" fillId="164" fontId="5" numFmtId="0" xfId="0">
      <alignment horizontal="center" vertical="center"/>
    </xf>
    <xf applyAlignment="true" applyBorder="false" applyFill="true" applyFont="true" applyNumberFormat="false" applyProtection="false" borderId="187" fillId="164" fontId="2" numFmtId="0" xfId="0">
      <alignment horizontal="center" vertical="center"/>
    </xf>
    <xf applyAlignment="true" applyBorder="false" applyFill="true" applyFont="true" applyNumberFormat="false" applyProtection="false" borderId="187" fillId="170" fontId="5" numFmtId="0" xfId="0">
      <alignment horizontal="center" vertical="center" wrapText="true"/>
    </xf>
    <xf applyAlignment="true" applyBorder="false" applyFill="true" applyFont="true" applyNumberFormat="false" applyProtection="false" borderId="187" fillId="170" fontId="5" numFmtId="0" xfId="0">
      <alignment horizontal="left" vertical="center" wrapText="true"/>
    </xf>
    <xf applyAlignment="true" applyBorder="false" applyFill="true" applyFont="true" applyNumberFormat="false" applyProtection="false" borderId="187" fillId="170" fontId="5" numFmtId="0" xfId="0">
      <alignment horizontal="center" vertical="center"/>
    </xf>
    <xf applyAlignment="true" applyBorder="false" applyFill="true" applyFont="true" applyNumberFormat="false" applyProtection="false" borderId="187" fillId="170" fontId="2" numFmtId="0" xfId="0">
      <alignment horizontal="center" vertical="center"/>
    </xf>
    <xf applyAlignment="true" applyBorder="false" applyFill="true" applyFont="true" applyNumberFormat="false" applyProtection="false" borderId="187" fillId="173" fontId="5" numFmtId="0" xfId="0">
      <alignment horizontal="center" vertical="center" wrapText="true"/>
    </xf>
    <xf applyAlignment="true" applyBorder="false" applyFill="true" applyFont="true" applyNumberFormat="false" applyProtection="false" borderId="187" fillId="173" fontId="5" numFmtId="0" xfId="0">
      <alignment horizontal="left" vertical="center" wrapText="true"/>
    </xf>
    <xf applyAlignment="true" applyBorder="false" applyFill="true" applyFont="true" applyNumberFormat="false" applyProtection="false" borderId="187" fillId="173" fontId="5" numFmtId="0" xfId="0">
      <alignment horizontal="center" vertical="center"/>
    </xf>
    <xf applyAlignment="true" applyBorder="false" applyFill="true" applyFont="true" applyNumberFormat="false" applyProtection="false" borderId="187" fillId="173" fontId="2" numFmtId="0" xfId="0">
      <alignment horizontal="center" vertical="center"/>
    </xf>
    <xf applyAlignment="true" applyBorder="false" applyFill="true" applyFont="true" applyNumberFormat="false" applyProtection="false" borderId="187" fillId="174" fontId="5" numFmtId="0" xfId="0">
      <alignment horizontal="center" vertical="center" wrapText="true"/>
    </xf>
    <xf applyAlignment="true" applyBorder="false" applyFill="true" applyFont="true" applyNumberFormat="false" applyProtection="false" borderId="187" fillId="174" fontId="5" numFmtId="0" xfId="0">
      <alignment horizontal="left" vertical="center" wrapText="true"/>
    </xf>
    <xf applyAlignment="true" applyBorder="false" applyFill="true" applyFont="true" applyNumberFormat="false" applyProtection="false" borderId="187" fillId="174" fontId="5" numFmtId="0" xfId="0">
      <alignment horizontal="center" vertical="center"/>
    </xf>
    <xf applyAlignment="true" applyBorder="false" applyFill="true" applyFont="true" applyNumberFormat="false" applyProtection="false" borderId="187" fillId="174" fontId="2" numFmtId="0" xfId="0">
      <alignment horizontal="center" vertical="center"/>
    </xf>
    <xf applyAlignment="true" applyBorder="false" applyFill="true" applyFont="true" applyNumberFormat="false" applyProtection="false" borderId="187" fillId="169" fontId="5" numFmtId="0" xfId="0">
      <alignment horizontal="center" vertical="center" wrapText="true"/>
    </xf>
    <xf applyAlignment="true" applyBorder="false" applyFill="true" applyFont="true" applyNumberFormat="false" applyProtection="false" borderId="187" fillId="169" fontId="5" numFmtId="0" xfId="0">
      <alignment horizontal="left" vertical="center" wrapText="true"/>
    </xf>
    <xf applyAlignment="true" applyBorder="false" applyFill="true" applyFont="true" applyNumberFormat="false" applyProtection="false" borderId="187" fillId="169" fontId="5" numFmtId="0" xfId="0">
      <alignment horizontal="center" vertical="center"/>
    </xf>
    <xf applyAlignment="true" applyBorder="false" applyFill="true" applyFont="true" applyNumberFormat="false" applyProtection="false" borderId="187" fillId="169" fontId="2" numFmtId="0" xfId="0">
      <alignment horizontal="center" vertical="center"/>
    </xf>
    <xf applyAlignment="true" applyBorder="false" applyFill="true" applyFont="true" applyNumberFormat="false" applyProtection="false" borderId="187" fillId="166" fontId="5" numFmtId="0" xfId="0">
      <alignment horizontal="center" vertical="center" wrapText="true"/>
    </xf>
    <xf applyAlignment="true" applyBorder="false" applyFill="true" applyFont="true" applyNumberFormat="false" applyProtection="false" borderId="187" fillId="166" fontId="5" numFmtId="0" xfId="0">
      <alignment horizontal="left" vertical="center" wrapText="true"/>
    </xf>
    <xf applyAlignment="true" applyBorder="false" applyFill="true" applyFont="true" applyNumberFormat="false" applyProtection="false" borderId="187" fillId="166" fontId="5" numFmtId="0" xfId="0">
      <alignment horizontal="center" vertical="center"/>
    </xf>
    <xf applyAlignment="true" applyBorder="false" applyFill="true" applyFont="true" applyNumberFormat="false" applyProtection="false" borderId="187" fillId="166" fontId="2" numFmtId="0" xfId="0">
      <alignment horizontal="center" vertical="center"/>
    </xf>
    <xf applyAlignment="true" applyBorder="false" applyFill="true" applyFont="true" applyNumberFormat="false" applyProtection="false" borderId="187" fillId="167" fontId="5" numFmtId="0" xfId="0">
      <alignment horizontal="center" vertical="center"/>
    </xf>
    <xf applyAlignment="true" applyBorder="false" applyFill="false" applyFont="true" applyNumberFormat="false" applyProtection="false" borderId="187" fillId="0" fontId="2" numFmtId="0" xfId="0">
      <alignment horizontal="center" vertical="center" wrapText="true"/>
    </xf>
    <xf applyAlignment="true" applyBorder="false" applyFill="false" applyFont="true" applyNumberFormat="false" applyProtection="false" borderId="187" fillId="0" fontId="5" numFmtId="0" xfId="0">
      <alignment horizontal="center" vertical="center"/>
    </xf>
    <xf applyAlignment="true" applyBorder="false" applyFill="false" applyFont="true" applyNumberFormat="false" applyProtection="false" borderId="187" fillId="0" fontId="2" numFmtId="0" xfId="0">
      <alignment horizontal="center" vertical="center"/>
    </xf>
    <xf applyAlignment="true" applyBorder="false" applyFill="false" applyFont="true" applyNumberFormat="false" applyProtection="false" borderId="187" fillId="0" fontId="2" numFmtId="0" xfId="0">
      <alignment vertical="center"/>
    </xf>
    <xf applyAlignment="true" applyBorder="false" applyFill="true" applyFont="true" applyNumberFormat="false" applyProtection="false" borderId="186" fillId="171" fontId="5" numFmtId="0" xfId="0">
      <alignment horizontal="center" vertical="center" wrapText="true"/>
    </xf>
    <xf applyAlignment="true" applyBorder="false" applyFill="true" applyFont="true" applyNumberFormat="false" applyProtection="false" borderId="186" fillId="166" fontId="5" numFmtId="0" xfId="0">
      <alignment horizontal="center" vertical="center"/>
    </xf>
    <xf applyAlignment="true" applyBorder="false" applyFill="true" applyFont="true" applyNumberFormat="false" applyProtection="false" borderId="186" fillId="167" fontId="5" numFmtId="0" xfId="0">
      <alignment horizontal="center" vertical="center" wrapText="true"/>
    </xf>
    <xf applyAlignment="true" applyBorder="false" applyFill="true" applyFont="true" applyNumberFormat="false" applyProtection="false" borderId="186" fillId="168" fontId="4" numFmtId="0" xfId="0">
      <alignment vertical="center"/>
    </xf>
    <xf applyAlignment="true" applyBorder="false" applyFill="true" applyFont="true" applyNumberFormat="false" applyProtection="false" borderId="187" fillId="172" fontId="2" numFmtId="0" xfId="0">
      <alignment horizontal="center" vertical="center"/>
    </xf>
    <xf applyAlignment="true" applyBorder="false" applyFill="true" applyFont="true" applyNumberFormat="false" applyProtection="false" borderId="186" fillId="168" fontId="4" numFmtId="0" xfId="0">
      <alignment vertical="center"/>
    </xf>
    <xf applyAlignment="true" applyBorder="false" applyFill="false" applyFont="true" applyNumberFormat="false" applyProtection="false" borderId="186" fillId="0" fontId="4" numFmtId="0" xfId="0">
      <alignment vertical="center"/>
    </xf>
    <xf applyAlignment="true" applyBorder="false" applyFill="false" applyFont="true" applyNumberFormat="false" applyProtection="false" borderId="188" fillId="0" fontId="4" numFmtId="0" xfId="0">
      <alignment vertical="center"/>
    </xf>
    <xf applyAlignment="true" applyBorder="false" applyFill="false" applyFont="true" applyNumberFormat="false" applyProtection="false" borderId="188" fillId="0" fontId="4" numFmtId="0" xfId="0">
      <alignment vertical="center"/>
    </xf>
    <xf applyAlignment="true" applyBorder="false" applyFill="false" applyFont="true" applyNumberFormat="false" applyProtection="false" borderId="189" fillId="0" fontId="2" numFmtId="0" xfId="0">
      <alignment vertical="center"/>
    </xf>
    <xf applyAlignment="true" applyBorder="false" applyFill="false" applyFont="true" applyNumberFormat="false" applyProtection="false" borderId="190" fillId="0" fontId="2" numFmtId="0" xfId="0">
      <alignment vertical="center"/>
    </xf>
    <xf applyAlignment="true" applyBorder="false" applyFill="false" applyFont="true" applyNumberFormat="false" applyProtection="false" borderId="191" fillId="0" fontId="4" numFmtId="0" xfId="0">
      <alignment vertical="center"/>
    </xf>
    <xf applyAlignment="true" applyBorder="false" applyFill="false" applyFont="true" applyNumberFormat="false" applyProtection="false" borderId="192" fillId="0" fontId="4" numFmtId="0" xfId="0">
      <alignment vertical="center"/>
    </xf>
    <xf applyAlignment="true" applyBorder="false" applyFill="false" applyFont="true" applyNumberFormat="false" applyProtection="false" borderId="193" fillId="0" fontId="2" numFmtId="0" xfId="0">
      <alignment vertical="center"/>
    </xf>
    <xf applyAlignment="true" applyBorder="false" applyFill="false" applyFont="true" applyNumberFormat="false" applyProtection="false" borderId="194" fillId="0" fontId="2" numFmtId="0" xfId="0">
      <alignment vertical="center"/>
    </xf>
    <xf applyAlignment="true" applyBorder="false" applyFill="false" applyFont="true" applyNumberFormat="false" applyProtection="false" borderId="195" fillId="0" fontId="4" numFmtId="0" xfId="0">
      <alignment vertical="center"/>
    </xf>
    <xf applyAlignment="true" applyBorder="false" applyFill="false" applyFont="true" applyNumberFormat="false" applyProtection="false" borderId="196" fillId="0" fontId="4" numFmtId="0" xfId="0">
      <alignment vertical="center"/>
    </xf>
    <xf applyAlignment="true" applyBorder="false" applyFill="false" applyFont="true" applyNumberFormat="false" applyProtection="false" borderId="196" fillId="0" fontId="2" numFmtId="0" xfId="0">
      <alignment vertical="center"/>
    </xf>
    <xf applyAlignment="true" applyBorder="false" applyFill="false" applyFont="true" applyNumberFormat="false" applyProtection="false" borderId="196" fillId="0" fontId="4" numFmtId="0" xfId="0">
      <alignment vertical="center"/>
    </xf>
    <xf applyAlignment="true" applyBorder="false" applyFill="false" applyFont="true" applyNumberFormat="false" applyProtection="false" borderId="197" fillId="0" fontId="4" numFmtId="0" xfId="0">
      <alignment vertical="center"/>
    </xf>
    <xf applyAlignment="true" applyBorder="false" applyFill="false" applyFont="true" applyNumberFormat="false" applyProtection="false" borderId="198" fillId="0" fontId="4" numFmtId="0" xfId="0">
      <alignment vertical="center"/>
    </xf>
    <xf applyAlignment="true" applyBorder="false" applyFill="false" applyFont="true" applyNumberFormat="false" applyProtection="false" borderId="199" fillId="0" fontId="1" numFmtId="0" xfId="0">
      <alignment horizontal="center" vertical="center" wrapText="true"/>
    </xf>
    <xf applyAlignment="true" applyBorder="false" applyFill="false" applyFont="true" applyNumberFormat="false" applyProtection="false" borderId="199" fillId="0" fontId="1" numFmtId="0" xfId="0">
      <alignment horizontal="center" vertical="center" wrapText="true"/>
    </xf>
    <xf applyAlignment="true" applyBorder="false" applyFill="false" applyFont="true" applyNumberFormat="true" applyProtection="false" borderId="199" fillId="0" fontId="1" numFmtId="183" xfId="0">
      <alignment horizontal="center" vertical="center" wrapText="true"/>
    </xf>
    <xf applyAlignment="true" applyBorder="false" applyFill="false" applyFont="true" applyNumberFormat="false" applyProtection="false" borderId="200"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01" fillId="0" fontId="6" numFmtId="0" xfId="0">
      <alignment horizontal="left" vertical="center" wrapText="true"/>
    </xf>
    <xf applyAlignment="true" applyBorder="false" applyFill="true" applyFont="true" applyNumberFormat="false" applyProtection="false" borderId="202" fillId="175" fontId="3" numFmtId="0" xfId="0">
      <alignment horizontal="center" vertical="center" wrapText="true"/>
    </xf>
    <xf applyAlignment="true" applyBorder="false" applyFill="false" applyFont="true" applyNumberFormat="false" applyProtection="false" borderId="202" fillId="0" fontId="3" numFmtId="0" xfId="0">
      <alignment horizontal="center" vertical="center"/>
    </xf>
    <xf applyAlignment="true" applyBorder="false" applyFill="true" applyFont="true" applyNumberFormat="false" applyProtection="false" borderId="202" fillId="176" fontId="3" numFmtId="0" xfId="0">
      <alignment horizontal="center" vertical="center" wrapText="true"/>
    </xf>
    <xf applyAlignment="true" applyBorder="false" applyFill="true" applyFont="true" applyNumberFormat="false" applyProtection="false" borderId="202" fillId="176" fontId="3" numFmtId="0" xfId="0">
      <alignment vertical="center" wrapText="true"/>
    </xf>
    <xf applyAlignment="true" applyBorder="false" applyFill="true" applyFont="true" applyNumberFormat="false" applyProtection="false" borderId="202" fillId="176" fontId="3" numFmtId="0" xfId="0">
      <alignment horizontal="center" vertical="center"/>
    </xf>
    <xf applyAlignment="true" applyBorder="false" applyFill="true" applyFont="true" applyNumberFormat="false" applyProtection="false" borderId="202" fillId="176" fontId="4" numFmtId="0" xfId="0">
      <alignment horizontal="center" vertical="center"/>
    </xf>
    <xf applyAlignment="true" applyBorder="false" applyFill="true" applyFont="true" applyNumberFormat="false" applyProtection="false" borderId="202" fillId="176"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02" fillId="177" fontId="3" numFmtId="0" xfId="0">
      <alignment horizontal="center" vertical="center" wrapText="true"/>
    </xf>
    <xf applyAlignment="true" applyBorder="false" applyFill="true" applyFont="true" applyNumberFormat="false" applyProtection="false" borderId="202" fillId="177" fontId="3" numFmtId="0" xfId="0">
      <alignment vertical="center" wrapText="true"/>
    </xf>
    <xf applyAlignment="true" applyBorder="false" applyFill="true" applyFont="true" applyNumberFormat="false" applyProtection="false" borderId="202" fillId="177" fontId="3" numFmtId="0" xfId="0">
      <alignment horizontal="center" vertical="center"/>
    </xf>
    <xf applyAlignment="true" applyBorder="false" applyFill="true" applyFont="true" applyNumberFormat="false" applyProtection="false" borderId="202" fillId="177" fontId="4" numFmtId="0" xfId="0">
      <alignment horizontal="center" vertical="center"/>
    </xf>
    <xf applyAlignment="true" applyBorder="false" applyFill="true" applyFont="true" applyNumberFormat="false" applyProtection="false" borderId="202" fillId="177" fontId="3" numFmtId="0" xfId="0">
      <alignment horizontal="center" vertical="center"/>
    </xf>
    <xf applyAlignment="true" applyBorder="false" applyFill="true" applyFont="true" applyNumberFormat="false" applyProtection="false" borderId="202" fillId="178" fontId="3" numFmtId="0" xfId="0">
      <alignment horizontal="center" vertical="center" wrapText="true"/>
    </xf>
    <xf applyAlignment="true" applyBorder="false" applyFill="true" applyFont="true" applyNumberFormat="false" applyProtection="false" borderId="202" fillId="178" fontId="3" numFmtId="0" xfId="0">
      <alignment vertical="center" wrapText="true"/>
    </xf>
    <xf applyAlignment="true" applyBorder="false" applyFill="true" applyFont="true" applyNumberFormat="false" applyProtection="false" borderId="202" fillId="178" fontId="3" numFmtId="0" xfId="0">
      <alignment horizontal="center" vertical="center"/>
    </xf>
    <xf applyAlignment="true" applyBorder="false" applyFill="true" applyFont="true" applyNumberFormat="false" applyProtection="false" borderId="202" fillId="178" fontId="4" numFmtId="0" xfId="0">
      <alignment horizontal="center" vertical="center"/>
    </xf>
    <xf applyAlignment="true" applyBorder="false" applyFill="true" applyFont="true" applyNumberFormat="false" applyProtection="false" borderId="202" fillId="178" fontId="3" numFmtId="0" xfId="0">
      <alignment horizontal="center" vertical="center"/>
    </xf>
    <xf applyAlignment="true" applyBorder="false" applyFill="true" applyFont="true" applyNumberFormat="false" applyProtection="false" borderId="202" fillId="175" fontId="3" numFmtId="0" xfId="0">
      <alignment vertical="center" wrapText="true"/>
    </xf>
    <xf applyAlignment="true" applyBorder="false" applyFill="true" applyFont="true" applyNumberFormat="false" applyProtection="false" borderId="202" fillId="175" fontId="3" numFmtId="0" xfId="0">
      <alignment horizontal="center" vertical="center"/>
    </xf>
    <xf applyAlignment="true" applyBorder="false" applyFill="true" applyFont="true" applyNumberFormat="false" applyProtection="false" borderId="202" fillId="175" fontId="4" numFmtId="0" xfId="0">
      <alignment horizontal="center" vertical="center"/>
    </xf>
    <xf applyAlignment="true" applyBorder="false" applyFill="true" applyFont="true" applyNumberFormat="false" applyProtection="false" borderId="202" fillId="175" fontId="3" numFmtId="0" xfId="0">
      <alignment horizontal="center" vertical="center"/>
    </xf>
    <xf applyAlignment="true" applyBorder="false" applyFill="true" applyFont="true" applyNumberFormat="false" applyProtection="false" borderId="202" fillId="179" fontId="3" numFmtId="0" xfId="0">
      <alignment horizontal="center" vertical="center" wrapText="true"/>
    </xf>
    <xf applyAlignment="true" applyBorder="false" applyFill="true" applyFont="true" applyNumberFormat="false" applyProtection="false" borderId="202" fillId="179" fontId="3" numFmtId="0" xfId="0">
      <alignment horizontal="center" vertical="center"/>
    </xf>
    <xf applyAlignment="true" applyBorder="false" applyFill="true" applyFont="true" applyNumberFormat="false" applyProtection="false" borderId="202" fillId="179"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02"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02" fillId="0" fontId="4" numFmtId="0" xfId="0">
      <alignment horizontal="center" vertical="center" wrapText="true"/>
    </xf>
    <xf applyAlignment="true" applyBorder="false" applyFill="false" applyFont="true" applyNumberFormat="false" applyProtection="false" borderId="202" fillId="0" fontId="3" numFmtId="0" xfId="0">
      <alignment horizontal="center" vertical="center"/>
    </xf>
    <xf applyAlignment="true" applyBorder="false" applyFill="false" applyFont="true" applyNumberFormat="false" applyProtection="false" borderId="202" fillId="0" fontId="4" numFmtId="0" xfId="0">
      <alignment horizontal="center" vertical="center"/>
    </xf>
    <xf applyAlignment="true" applyBorder="false" applyFill="false" applyFont="true" applyNumberFormat="false" applyProtection="false" borderId="202"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02" fillId="180" fontId="3" numFmtId="0" xfId="0">
      <alignment horizontal="center" vertical="center" wrapText="true"/>
    </xf>
    <xf applyAlignment="true" applyBorder="false" applyFill="true" applyFont="true" applyNumberFormat="false" applyProtection="false" borderId="202" fillId="180" fontId="3" numFmtId="0" xfId="0">
      <alignment vertical="center" wrapText="true"/>
    </xf>
    <xf applyAlignment="true" applyBorder="false" applyFill="true" applyFont="true" applyNumberFormat="false" applyProtection="false" borderId="202" fillId="180" fontId="3" numFmtId="0" xfId="0">
      <alignment horizontal="center" vertical="center"/>
    </xf>
    <xf applyAlignment="true" applyBorder="false" applyFill="true" applyFont="true" applyNumberFormat="false" applyProtection="false" borderId="202" fillId="180" fontId="4" numFmtId="0" xfId="0">
      <alignment horizontal="center" vertical="center"/>
    </xf>
    <xf applyAlignment="true" applyBorder="false" applyFill="true" applyFont="true" applyNumberFormat="false" applyProtection="false" borderId="202" fillId="180" fontId="3" numFmtId="0" xfId="0">
      <alignment horizontal="center" vertical="center"/>
    </xf>
    <xf applyAlignment="true" applyBorder="false" applyFill="true" applyFont="true" applyNumberFormat="false" applyProtection="false" borderId="202" fillId="181" fontId="3" numFmtId="0" xfId="0">
      <alignment horizontal="center" vertical="center" wrapText="true"/>
    </xf>
    <xf applyAlignment="true" applyBorder="false" applyFill="true" applyFont="true" applyNumberFormat="false" applyProtection="false" borderId="202" fillId="181" fontId="3" numFmtId="0" xfId="0">
      <alignment vertical="center" wrapText="true"/>
    </xf>
    <xf applyAlignment="true" applyBorder="false" applyFill="true" applyFont="true" applyNumberFormat="false" applyProtection="false" borderId="202" fillId="181" fontId="3" numFmtId="0" xfId="0">
      <alignment horizontal="center" vertical="center"/>
    </xf>
    <xf applyAlignment="true" applyBorder="false" applyFill="true" applyFont="true" applyNumberFormat="false" applyProtection="false" borderId="202" fillId="181" fontId="4" numFmtId="0" xfId="0">
      <alignment horizontal="center" vertical="center"/>
    </xf>
    <xf applyAlignment="true" applyBorder="false" applyFill="true" applyFont="true" applyNumberFormat="false" applyProtection="false" borderId="202" fillId="181" fontId="3" numFmtId="0" xfId="0">
      <alignment horizontal="center" vertical="center"/>
    </xf>
    <xf applyAlignment="true" applyBorder="false" applyFill="true" applyFont="true" applyNumberFormat="false" applyProtection="false" borderId="202" fillId="182" fontId="5" numFmtId="0" xfId="0">
      <alignment horizontal="center" vertical="center"/>
    </xf>
    <xf applyAlignment="true" applyBorder="false" applyFill="true" applyFont="true" applyNumberFormat="false" applyProtection="false" borderId="202" fillId="182" fontId="3" numFmtId="0" xfId="0">
      <alignment vertical="center" wrapText="true"/>
    </xf>
    <xf applyAlignment="true" applyBorder="false" applyFill="true" applyFont="true" applyNumberFormat="false" applyProtection="false" borderId="202" fillId="182" fontId="3" numFmtId="0" xfId="0">
      <alignment horizontal="center" vertical="center"/>
    </xf>
    <xf applyAlignment="true" applyBorder="false" applyFill="true" applyFont="true" applyNumberFormat="false" applyProtection="false" borderId="202" fillId="182" fontId="4" numFmtId="0" xfId="0">
      <alignment horizontal="center" vertical="center"/>
    </xf>
    <xf applyAlignment="true" applyBorder="false" applyFill="true" applyFont="true" applyNumberFormat="false" applyProtection="false" borderId="202" fillId="182" fontId="3" numFmtId="0" xfId="0">
      <alignment horizontal="center" vertical="center"/>
    </xf>
    <xf applyAlignment="true" applyBorder="false" applyFill="true" applyFont="true" applyNumberFormat="false" applyProtection="false" borderId="202" fillId="175" fontId="3" numFmtId="0" xfId="0">
      <alignment horizontal="left" vertical="center" wrapText="true"/>
    </xf>
    <xf applyAlignment="true" applyBorder="false" applyFill="true" applyFont="true" applyNumberFormat="false" applyProtection="false" borderId="0" fillId="178" fontId="5" numFmtId="0" xfId="0">
      <alignment horizontal="center" vertical="center" wrapText="true"/>
    </xf>
    <xf applyAlignment="true" applyBorder="false" applyFill="true" applyFont="true" applyNumberFormat="false" applyProtection="false" borderId="202" fillId="178" fontId="3" numFmtId="0" xfId="0">
      <alignment horizontal="left" vertical="center" wrapText="true"/>
    </xf>
    <xf applyAlignment="true" applyBorder="false" applyFill="true" applyFont="true" applyNumberFormat="false" applyProtection="false" borderId="202" fillId="183" fontId="3" numFmtId="0" xfId="0">
      <alignment horizontal="center" vertical="center" wrapText="true"/>
    </xf>
    <xf applyAlignment="true" applyBorder="false" applyFill="true" applyFont="true" applyNumberFormat="false" applyProtection="false" borderId="202" fillId="183" fontId="3" numFmtId="0" xfId="0">
      <alignment horizontal="left" vertical="center" wrapText="true"/>
    </xf>
    <xf applyAlignment="true" applyBorder="false" applyFill="true" applyFont="true" applyNumberFormat="false" applyProtection="false" borderId="202" fillId="183" fontId="3" numFmtId="0" xfId="0">
      <alignment horizontal="center" vertical="center"/>
    </xf>
    <xf applyAlignment="true" applyBorder="false" applyFill="true" applyFont="true" applyNumberFormat="false" applyProtection="false" borderId="202" fillId="183" fontId="4" numFmtId="0" xfId="0">
      <alignment horizontal="center" vertical="center"/>
    </xf>
    <xf applyAlignment="true" applyBorder="false" applyFill="true" applyFont="true" applyNumberFormat="false" applyProtection="false" borderId="203" fillId="183" fontId="5"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203" fillId="175" fontId="5" numFmtId="0" xfId="0">
      <alignment horizontal="center" vertical="center"/>
    </xf>
    <xf applyAlignment="true" applyBorder="false" applyFill="true" applyFont="true" applyNumberFormat="false" applyProtection="false" borderId="202" fillId="181" fontId="3" numFmtId="0" xfId="0">
      <alignment horizontal="left" vertical="center" wrapText="true"/>
    </xf>
    <xf applyAlignment="true" applyBorder="false" applyFill="true" applyFont="true" applyNumberFormat="false" applyProtection="false" borderId="203" fillId="181" fontId="5" numFmtId="0" xfId="0">
      <alignment horizontal="center" vertical="center"/>
    </xf>
    <xf applyAlignment="true" applyBorder="false" applyFill="true" applyFont="true" applyNumberFormat="false" applyProtection="false" borderId="202" fillId="184" fontId="3" numFmtId="0" xfId="0">
      <alignment horizontal="center" vertical="center" wrapText="true"/>
    </xf>
    <xf applyAlignment="true" applyBorder="false" applyFill="true" applyFont="true" applyNumberFormat="false" applyProtection="false" borderId="202" fillId="184" fontId="3" numFmtId="0" xfId="0">
      <alignment horizontal="left" vertical="center" wrapText="true"/>
    </xf>
    <xf applyAlignment="true" applyBorder="false" applyFill="true" applyFont="true" applyNumberFormat="false" applyProtection="false" borderId="202" fillId="184" fontId="3" numFmtId="0" xfId="0">
      <alignment horizontal="center" vertical="center"/>
    </xf>
    <xf applyAlignment="true" applyBorder="false" applyFill="true" applyFont="true" applyNumberFormat="false" applyProtection="false" borderId="202" fillId="184" fontId="4" numFmtId="0" xfId="0">
      <alignment horizontal="center" vertical="center"/>
    </xf>
    <xf applyAlignment="true" applyBorder="false" applyFill="true" applyFont="true" applyNumberFormat="false" applyProtection="false" borderId="203" fillId="184" fontId="5" numFmtId="0" xfId="0">
      <alignment horizontal="center" vertical="center"/>
    </xf>
    <xf applyAlignment="true" applyBorder="false" applyFill="true" applyFont="true" applyNumberFormat="false" applyProtection="false" borderId="202" fillId="185" fontId="3" numFmtId="0" xfId="0">
      <alignment horizontal="center" vertical="center" wrapText="true"/>
    </xf>
    <xf applyAlignment="true" applyBorder="false" applyFill="true" applyFont="true" applyNumberFormat="false" applyProtection="false" borderId="202" fillId="185" fontId="3" numFmtId="0" xfId="0">
      <alignment horizontal="left" vertical="center" wrapText="true"/>
    </xf>
    <xf applyAlignment="true" applyBorder="false" applyFill="true" applyFont="true" applyNumberFormat="false" applyProtection="false" borderId="202" fillId="185" fontId="3" numFmtId="0" xfId="0">
      <alignment horizontal="center" vertical="center"/>
    </xf>
    <xf applyAlignment="true" applyBorder="false" applyFill="true" applyFont="true" applyNumberFormat="false" applyProtection="false" borderId="202" fillId="185" fontId="4" numFmtId="0" xfId="0">
      <alignment horizontal="center" vertical="center"/>
    </xf>
    <xf applyAlignment="true" applyBorder="false" applyFill="true" applyFont="true" applyNumberFormat="false" applyProtection="false" borderId="203" fillId="185" fontId="5" numFmtId="0" xfId="0">
      <alignment horizontal="center" vertical="center"/>
    </xf>
    <xf applyAlignment="true" applyBorder="false" applyFill="true" applyFont="true" applyNumberFormat="false" applyProtection="false" borderId="202" fillId="180" fontId="3" numFmtId="0" xfId="0">
      <alignment horizontal="left" vertical="center" wrapText="true"/>
    </xf>
    <xf applyAlignment="true" applyBorder="false" applyFill="true" applyFont="true" applyNumberFormat="false" applyProtection="false" borderId="203" fillId="180" fontId="5" numFmtId="0" xfId="0">
      <alignment horizontal="center" vertical="center"/>
    </xf>
    <xf applyAlignment="true" applyBorder="false" applyFill="true" applyFont="true" applyNumberFormat="false" applyProtection="false" borderId="202" fillId="176" fontId="3" numFmtId="0" xfId="0">
      <alignment horizontal="left" vertical="center" wrapText="true"/>
    </xf>
    <xf applyAlignment="true" applyBorder="false" applyFill="true" applyFont="true" applyNumberFormat="false" applyProtection="false" borderId="202" fillId="176" fontId="4" numFmtId="0" xfId="0">
      <alignment horizontal="center" vertical="center"/>
    </xf>
    <xf applyAlignment="true" applyBorder="false" applyFill="true" applyFont="true" applyNumberFormat="false" applyProtection="false" borderId="203" fillId="176"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02" fillId="177" fontId="3" numFmtId="0" xfId="0">
      <alignment horizontal="left" vertical="center" wrapText="true"/>
    </xf>
    <xf applyAlignment="true" applyBorder="false" applyFill="true" applyFont="true" applyNumberFormat="false" applyProtection="false" borderId="203" fillId="177" fontId="5" numFmtId="0" xfId="0">
      <alignment horizontal="center" vertical="center"/>
    </xf>
    <xf applyAlignment="true" applyBorder="false" applyFill="true" applyFont="true" applyNumberFormat="false" applyProtection="false" borderId="203" fillId="178" fontId="5" numFmtId="0" xfId="0">
      <alignment horizontal="center" vertical="center" wrapText="true"/>
    </xf>
    <xf applyAlignment="true" applyBorder="false" applyFill="true" applyFont="true" applyNumberFormat="false" applyProtection="false" borderId="203" fillId="178" fontId="5" numFmtId="0" xfId="0">
      <alignment horizontal="left" vertical="center" wrapText="true"/>
    </xf>
    <xf applyAlignment="true" applyBorder="false" applyFill="true" applyFont="true" applyNumberFormat="false" applyProtection="false" borderId="203" fillId="178" fontId="5" numFmtId="0" xfId="0">
      <alignment horizontal="center" vertical="center"/>
    </xf>
    <xf applyAlignment="true" applyBorder="false" applyFill="true" applyFont="true" applyNumberFormat="false" applyProtection="false" borderId="203" fillId="178" fontId="2" numFmtId="0" xfId="0">
      <alignment horizontal="center" vertical="center"/>
    </xf>
    <xf applyAlignment="true" applyBorder="false" applyFill="true" applyFont="true" applyNumberFormat="false" applyProtection="false" borderId="203" fillId="175" fontId="5" numFmtId="0" xfId="0">
      <alignment horizontal="center" vertical="center" wrapText="true"/>
    </xf>
    <xf applyAlignment="true" applyBorder="false" applyFill="true" applyFont="true" applyNumberFormat="false" applyProtection="false" borderId="203" fillId="175" fontId="5" numFmtId="0" xfId="0">
      <alignment horizontal="left" vertical="center" wrapText="true"/>
    </xf>
    <xf applyAlignment="true" applyBorder="false" applyFill="true" applyFont="true" applyNumberFormat="false" applyProtection="false" borderId="203" fillId="175" fontId="5" numFmtId="0" xfId="0">
      <alignment horizontal="center" vertical="center"/>
    </xf>
    <xf applyAlignment="true" applyBorder="false" applyFill="true" applyFont="true" applyNumberFormat="false" applyProtection="false" borderId="203" fillId="175" fontId="2" numFmtId="0" xfId="0">
      <alignment horizontal="center" vertical="center"/>
    </xf>
    <xf applyAlignment="true" applyBorder="false" applyFill="true" applyFont="true" applyNumberFormat="false" applyProtection="false" borderId="203" fillId="181" fontId="5" numFmtId="0" xfId="0">
      <alignment horizontal="center" vertical="center" wrapText="true"/>
    </xf>
    <xf applyAlignment="true" applyBorder="false" applyFill="true" applyFont="true" applyNumberFormat="false" applyProtection="false" borderId="203" fillId="181" fontId="5" numFmtId="0" xfId="0">
      <alignment horizontal="left" vertical="center" wrapText="true"/>
    </xf>
    <xf applyAlignment="true" applyBorder="false" applyFill="true" applyFont="true" applyNumberFormat="false" applyProtection="false" borderId="203" fillId="181" fontId="5" numFmtId="0" xfId="0">
      <alignment horizontal="center" vertical="center"/>
    </xf>
    <xf applyAlignment="true" applyBorder="false" applyFill="true" applyFont="true" applyNumberFormat="false" applyProtection="false" borderId="203" fillId="181" fontId="2" numFmtId="0" xfId="0">
      <alignment horizontal="center" vertical="center"/>
    </xf>
    <xf applyAlignment="true" applyBorder="false" applyFill="true" applyFont="true" applyNumberFormat="false" applyProtection="false" borderId="203" fillId="184" fontId="5" numFmtId="0" xfId="0">
      <alignment horizontal="center" vertical="center" wrapText="true"/>
    </xf>
    <xf applyAlignment="true" applyBorder="false" applyFill="true" applyFont="true" applyNumberFormat="false" applyProtection="false" borderId="203" fillId="184" fontId="5" numFmtId="0" xfId="0">
      <alignment horizontal="left" vertical="center" wrapText="true"/>
    </xf>
    <xf applyAlignment="true" applyBorder="false" applyFill="true" applyFont="true" applyNumberFormat="false" applyProtection="false" borderId="203" fillId="184" fontId="5" numFmtId="0" xfId="0">
      <alignment horizontal="center" vertical="center"/>
    </xf>
    <xf applyAlignment="true" applyBorder="false" applyFill="true" applyFont="true" applyNumberFormat="false" applyProtection="false" borderId="203" fillId="184" fontId="2" numFmtId="0" xfId="0">
      <alignment horizontal="center" vertical="center"/>
    </xf>
    <xf applyAlignment="true" applyBorder="false" applyFill="true" applyFont="true" applyNumberFormat="false" applyProtection="false" borderId="203" fillId="185" fontId="5" numFmtId="0" xfId="0">
      <alignment horizontal="center" vertical="center" wrapText="true"/>
    </xf>
    <xf applyAlignment="true" applyBorder="false" applyFill="true" applyFont="true" applyNumberFormat="false" applyProtection="false" borderId="203" fillId="185" fontId="5" numFmtId="0" xfId="0">
      <alignment horizontal="left" vertical="center" wrapText="true"/>
    </xf>
    <xf applyAlignment="true" applyBorder="false" applyFill="true" applyFont="true" applyNumberFormat="false" applyProtection="false" borderId="203" fillId="185" fontId="5" numFmtId="0" xfId="0">
      <alignment horizontal="center" vertical="center"/>
    </xf>
    <xf applyAlignment="true" applyBorder="false" applyFill="true" applyFont="true" applyNumberFormat="false" applyProtection="false" borderId="203" fillId="185" fontId="2" numFmtId="0" xfId="0">
      <alignment horizontal="center" vertical="center"/>
    </xf>
    <xf applyAlignment="true" applyBorder="false" applyFill="true" applyFont="true" applyNumberFormat="false" applyProtection="false" borderId="203" fillId="180" fontId="5" numFmtId="0" xfId="0">
      <alignment horizontal="center" vertical="center" wrapText="true"/>
    </xf>
    <xf applyAlignment="true" applyBorder="false" applyFill="true" applyFont="true" applyNumberFormat="false" applyProtection="false" borderId="203" fillId="180" fontId="5" numFmtId="0" xfId="0">
      <alignment horizontal="left" vertical="center" wrapText="true"/>
    </xf>
    <xf applyAlignment="true" applyBorder="false" applyFill="true" applyFont="true" applyNumberFormat="false" applyProtection="false" borderId="203" fillId="180" fontId="5" numFmtId="0" xfId="0">
      <alignment horizontal="center" vertical="center"/>
    </xf>
    <xf applyAlignment="true" applyBorder="false" applyFill="true" applyFont="true" applyNumberFormat="false" applyProtection="false" borderId="203" fillId="180" fontId="2" numFmtId="0" xfId="0">
      <alignment horizontal="center" vertical="center"/>
    </xf>
    <xf applyAlignment="true" applyBorder="false" applyFill="true" applyFont="true" applyNumberFormat="false" applyProtection="false" borderId="203" fillId="177" fontId="5" numFmtId="0" xfId="0">
      <alignment horizontal="center" vertical="center" wrapText="true"/>
    </xf>
    <xf applyAlignment="true" applyBorder="false" applyFill="true" applyFont="true" applyNumberFormat="false" applyProtection="false" borderId="203" fillId="177" fontId="5" numFmtId="0" xfId="0">
      <alignment horizontal="left" vertical="center" wrapText="true"/>
    </xf>
    <xf applyAlignment="true" applyBorder="false" applyFill="true" applyFont="true" applyNumberFormat="false" applyProtection="false" borderId="203" fillId="177" fontId="5" numFmtId="0" xfId="0">
      <alignment horizontal="center" vertical="center"/>
    </xf>
    <xf applyAlignment="true" applyBorder="false" applyFill="true" applyFont="true" applyNumberFormat="false" applyProtection="false" borderId="203" fillId="177" fontId="2" numFmtId="0" xfId="0">
      <alignment horizontal="center" vertical="center"/>
    </xf>
    <xf applyAlignment="true" applyBorder="false" applyFill="true" applyFont="true" applyNumberFormat="false" applyProtection="false" borderId="203" fillId="178" fontId="5" numFmtId="0" xfId="0">
      <alignment horizontal="center" vertical="center"/>
    </xf>
    <xf applyAlignment="true" applyBorder="false" applyFill="false" applyFont="true" applyNumberFormat="false" applyProtection="false" borderId="203" fillId="0" fontId="2" numFmtId="0" xfId="0">
      <alignment horizontal="center" vertical="center" wrapText="true"/>
    </xf>
    <xf applyAlignment="true" applyBorder="false" applyFill="false" applyFont="true" applyNumberFormat="false" applyProtection="false" borderId="203" fillId="0" fontId="5" numFmtId="0" xfId="0">
      <alignment horizontal="center" vertical="center"/>
    </xf>
    <xf applyAlignment="true" applyBorder="false" applyFill="false" applyFont="true" applyNumberFormat="false" applyProtection="false" borderId="203" fillId="0" fontId="2" numFmtId="0" xfId="0">
      <alignment horizontal="center" vertical="center"/>
    </xf>
    <xf applyAlignment="true" applyBorder="false" applyFill="false" applyFont="true" applyNumberFormat="false" applyProtection="false" borderId="203" fillId="0" fontId="2" numFmtId="0" xfId="0">
      <alignment vertical="center"/>
    </xf>
    <xf applyAlignment="true" applyBorder="false" applyFill="true" applyFont="true" applyNumberFormat="false" applyProtection="false" borderId="202" fillId="182" fontId="5" numFmtId="0" xfId="0">
      <alignment horizontal="center" vertical="center" wrapText="true"/>
    </xf>
    <xf applyAlignment="true" applyBorder="false" applyFill="true" applyFont="true" applyNumberFormat="false" applyProtection="false" borderId="202" fillId="177" fontId="5" numFmtId="0" xfId="0">
      <alignment horizontal="center" vertical="center"/>
    </xf>
    <xf applyAlignment="true" applyBorder="false" applyFill="true" applyFont="true" applyNumberFormat="false" applyProtection="false" borderId="202" fillId="178" fontId="5" numFmtId="0" xfId="0">
      <alignment horizontal="center" vertical="center" wrapText="true"/>
    </xf>
    <xf applyAlignment="true" applyBorder="false" applyFill="true" applyFont="true" applyNumberFormat="false" applyProtection="false" borderId="202" fillId="179" fontId="4" numFmtId="0" xfId="0">
      <alignment vertical="center"/>
    </xf>
    <xf applyAlignment="true" applyBorder="false" applyFill="true" applyFont="true" applyNumberFormat="false" applyProtection="false" borderId="203" fillId="183" fontId="2" numFmtId="0" xfId="0">
      <alignment horizontal="center" vertical="center"/>
    </xf>
    <xf applyAlignment="true" applyBorder="false" applyFill="true" applyFont="true" applyNumberFormat="false" applyProtection="false" borderId="202" fillId="179" fontId="4" numFmtId="0" xfId="0">
      <alignment vertical="center"/>
    </xf>
    <xf applyAlignment="true" applyBorder="false" applyFill="false" applyFont="true" applyNumberFormat="false" applyProtection="false" borderId="202" fillId="0" fontId="4" numFmtId="0" xfId="0">
      <alignment vertical="center"/>
    </xf>
    <xf applyAlignment="true" applyBorder="false" applyFill="false" applyFont="true" applyNumberFormat="false" applyProtection="false" borderId="204" fillId="0" fontId="4" numFmtId="0" xfId="0">
      <alignment vertical="center"/>
    </xf>
    <xf applyAlignment="true" applyBorder="false" applyFill="false" applyFont="true" applyNumberFormat="false" applyProtection="false" borderId="204" fillId="0" fontId="4" numFmtId="0" xfId="0">
      <alignment vertical="center"/>
    </xf>
    <xf applyAlignment="true" applyBorder="false" applyFill="false" applyFont="true" applyNumberFormat="false" applyProtection="false" borderId="205" fillId="0" fontId="2" numFmtId="0" xfId="0">
      <alignment vertical="center"/>
    </xf>
    <xf applyAlignment="true" applyBorder="false" applyFill="false" applyFont="true" applyNumberFormat="false" applyProtection="false" borderId="206" fillId="0" fontId="2" numFmtId="0" xfId="0">
      <alignment vertical="center"/>
    </xf>
    <xf applyAlignment="true" applyBorder="false" applyFill="false" applyFont="true" applyNumberFormat="false" applyProtection="false" borderId="207" fillId="0" fontId="4" numFmtId="0" xfId="0">
      <alignment vertical="center"/>
    </xf>
    <xf applyAlignment="true" applyBorder="false" applyFill="false" applyFont="true" applyNumberFormat="false" applyProtection="false" borderId="208" fillId="0" fontId="4" numFmtId="0" xfId="0">
      <alignment vertical="center"/>
    </xf>
    <xf applyAlignment="true" applyBorder="false" applyFill="false" applyFont="true" applyNumberFormat="false" applyProtection="false" borderId="209" fillId="0" fontId="2" numFmtId="0" xfId="0">
      <alignment vertical="center"/>
    </xf>
    <xf applyAlignment="true" applyBorder="false" applyFill="false" applyFont="true" applyNumberFormat="false" applyProtection="false" borderId="210" fillId="0" fontId="2" numFmtId="0" xfId="0">
      <alignment vertical="center"/>
    </xf>
    <xf applyAlignment="true" applyBorder="false" applyFill="false" applyFont="true" applyNumberFormat="false" applyProtection="false" borderId="211" fillId="0" fontId="4" numFmtId="0" xfId="0">
      <alignment vertical="center"/>
    </xf>
    <xf applyAlignment="true" applyBorder="false" applyFill="false" applyFont="true" applyNumberFormat="false" applyProtection="false" borderId="212" fillId="0" fontId="4" numFmtId="0" xfId="0">
      <alignment vertical="center"/>
    </xf>
    <xf applyAlignment="true" applyBorder="false" applyFill="false" applyFont="true" applyNumberFormat="false" applyProtection="false" borderId="212" fillId="0" fontId="2" numFmtId="0" xfId="0">
      <alignment vertical="center"/>
    </xf>
    <xf applyAlignment="true" applyBorder="false" applyFill="false" applyFont="true" applyNumberFormat="false" applyProtection="false" borderId="212" fillId="0" fontId="4" numFmtId="0" xfId="0">
      <alignment vertical="center"/>
    </xf>
    <xf applyAlignment="true" applyBorder="false" applyFill="false" applyFont="true" applyNumberFormat="false" applyProtection="false" borderId="213" fillId="0" fontId="4" numFmtId="0" xfId="0">
      <alignment vertical="center"/>
    </xf>
    <xf applyAlignment="true" applyBorder="false" applyFill="false" applyFont="true" applyNumberFormat="false" applyProtection="false" borderId="214" fillId="0" fontId="4" numFmtId="0" xfId="0">
      <alignment vertical="center"/>
    </xf>
    <xf applyAlignment="true" applyBorder="false" applyFill="false" applyFont="true" applyNumberFormat="false" applyProtection="false" borderId="215" fillId="0" fontId="1" numFmtId="0" xfId="0">
      <alignment horizontal="center" vertical="center" wrapText="true"/>
    </xf>
    <xf applyAlignment="true" applyBorder="false" applyFill="false" applyFont="true" applyNumberFormat="false" applyProtection="false" borderId="215" fillId="0" fontId="1" numFmtId="0" xfId="0">
      <alignment horizontal="center" vertical="center" wrapText="true"/>
    </xf>
    <xf applyAlignment="true" applyBorder="false" applyFill="false" applyFont="true" applyNumberFormat="true" applyProtection="false" borderId="215" fillId="0" fontId="1" numFmtId="184" xfId="0">
      <alignment horizontal="center" vertical="center" wrapText="true"/>
    </xf>
    <xf applyAlignment="true" applyBorder="false" applyFill="false" applyFont="true" applyNumberFormat="false" applyProtection="false" borderId="216"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17" fillId="0" fontId="6" numFmtId="0" xfId="0">
      <alignment horizontal="left" vertical="center" wrapText="true"/>
    </xf>
    <xf applyAlignment="true" applyBorder="false" applyFill="true" applyFont="true" applyNumberFormat="false" applyProtection="false" borderId="218" fillId="186" fontId="3" numFmtId="0" xfId="0">
      <alignment horizontal="center" vertical="center" wrapText="true"/>
    </xf>
    <xf applyAlignment="true" applyBorder="false" applyFill="false" applyFont="true" applyNumberFormat="false" applyProtection="false" borderId="218" fillId="0" fontId="3" numFmtId="0" xfId="0">
      <alignment horizontal="center" vertical="center"/>
    </xf>
    <xf applyAlignment="true" applyBorder="false" applyFill="true" applyFont="true" applyNumberFormat="false" applyProtection="false" borderId="218" fillId="187" fontId="3" numFmtId="0" xfId="0">
      <alignment horizontal="center" vertical="center" wrapText="true"/>
    </xf>
    <xf applyAlignment="true" applyBorder="false" applyFill="true" applyFont="true" applyNumberFormat="false" applyProtection="false" borderId="218" fillId="187" fontId="3" numFmtId="0" xfId="0">
      <alignment vertical="center" wrapText="true"/>
    </xf>
    <xf applyAlignment="true" applyBorder="false" applyFill="true" applyFont="true" applyNumberFormat="false" applyProtection="false" borderId="218" fillId="187" fontId="3" numFmtId="0" xfId="0">
      <alignment horizontal="center" vertical="center"/>
    </xf>
    <xf applyAlignment="true" applyBorder="false" applyFill="true" applyFont="true" applyNumberFormat="false" applyProtection="false" borderId="218" fillId="187" fontId="4" numFmtId="0" xfId="0">
      <alignment horizontal="center" vertical="center"/>
    </xf>
    <xf applyAlignment="true" applyBorder="false" applyFill="true" applyFont="true" applyNumberFormat="false" applyProtection="false" borderId="218" fillId="187"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18" fillId="188" fontId="3" numFmtId="0" xfId="0">
      <alignment horizontal="center" vertical="center" wrapText="true"/>
    </xf>
    <xf applyAlignment="true" applyBorder="false" applyFill="true" applyFont="true" applyNumberFormat="false" applyProtection="false" borderId="218" fillId="188" fontId="3" numFmtId="0" xfId="0">
      <alignment vertical="center" wrapText="true"/>
    </xf>
    <xf applyAlignment="true" applyBorder="false" applyFill="true" applyFont="true" applyNumberFormat="false" applyProtection="false" borderId="218" fillId="188" fontId="3" numFmtId="0" xfId="0">
      <alignment horizontal="center" vertical="center"/>
    </xf>
    <xf applyAlignment="true" applyBorder="false" applyFill="true" applyFont="true" applyNumberFormat="false" applyProtection="false" borderId="218" fillId="188" fontId="4" numFmtId="0" xfId="0">
      <alignment horizontal="center" vertical="center"/>
    </xf>
    <xf applyAlignment="true" applyBorder="false" applyFill="true" applyFont="true" applyNumberFormat="false" applyProtection="false" borderId="218" fillId="188" fontId="3" numFmtId="0" xfId="0">
      <alignment horizontal="center" vertical="center"/>
    </xf>
    <xf applyAlignment="true" applyBorder="false" applyFill="true" applyFont="true" applyNumberFormat="false" applyProtection="false" borderId="218" fillId="189" fontId="3" numFmtId="0" xfId="0">
      <alignment horizontal="center" vertical="center" wrapText="true"/>
    </xf>
    <xf applyAlignment="true" applyBorder="false" applyFill="true" applyFont="true" applyNumberFormat="false" applyProtection="false" borderId="218" fillId="189" fontId="3" numFmtId="0" xfId="0">
      <alignment vertical="center" wrapText="true"/>
    </xf>
    <xf applyAlignment="true" applyBorder="false" applyFill="true" applyFont="true" applyNumberFormat="false" applyProtection="false" borderId="218" fillId="189" fontId="3" numFmtId="0" xfId="0">
      <alignment horizontal="center" vertical="center"/>
    </xf>
    <xf applyAlignment="true" applyBorder="false" applyFill="true" applyFont="true" applyNumberFormat="false" applyProtection="false" borderId="218" fillId="189" fontId="4" numFmtId="0" xfId="0">
      <alignment horizontal="center" vertical="center"/>
    </xf>
    <xf applyAlignment="true" applyBorder="false" applyFill="true" applyFont="true" applyNumberFormat="false" applyProtection="false" borderId="218" fillId="189" fontId="3" numFmtId="0" xfId="0">
      <alignment horizontal="center" vertical="center"/>
    </xf>
    <xf applyAlignment="true" applyBorder="false" applyFill="true" applyFont="true" applyNumberFormat="false" applyProtection="false" borderId="218" fillId="186" fontId="3" numFmtId="0" xfId="0">
      <alignment vertical="center" wrapText="true"/>
    </xf>
    <xf applyAlignment="true" applyBorder="false" applyFill="true" applyFont="true" applyNumberFormat="false" applyProtection="false" borderId="218" fillId="186" fontId="3" numFmtId="0" xfId="0">
      <alignment horizontal="center" vertical="center"/>
    </xf>
    <xf applyAlignment="true" applyBorder="false" applyFill="true" applyFont="true" applyNumberFormat="false" applyProtection="false" borderId="218" fillId="186" fontId="4" numFmtId="0" xfId="0">
      <alignment horizontal="center" vertical="center"/>
    </xf>
    <xf applyAlignment="true" applyBorder="false" applyFill="true" applyFont="true" applyNumberFormat="false" applyProtection="false" borderId="218" fillId="186" fontId="3" numFmtId="0" xfId="0">
      <alignment horizontal="center" vertical="center"/>
    </xf>
    <xf applyAlignment="true" applyBorder="false" applyFill="true" applyFont="true" applyNumberFormat="false" applyProtection="false" borderId="218" fillId="190" fontId="3" numFmtId="0" xfId="0">
      <alignment horizontal="center" vertical="center" wrapText="true"/>
    </xf>
    <xf applyAlignment="true" applyBorder="false" applyFill="true" applyFont="true" applyNumberFormat="false" applyProtection="false" borderId="218" fillId="190" fontId="3" numFmtId="0" xfId="0">
      <alignment horizontal="center" vertical="center"/>
    </xf>
    <xf applyAlignment="true" applyBorder="false" applyFill="true" applyFont="true" applyNumberFormat="false" applyProtection="false" borderId="218" fillId="190"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18"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18" fillId="0" fontId="4" numFmtId="0" xfId="0">
      <alignment horizontal="center" vertical="center" wrapText="true"/>
    </xf>
    <xf applyAlignment="true" applyBorder="false" applyFill="false" applyFont="true" applyNumberFormat="false" applyProtection="false" borderId="218" fillId="0" fontId="3" numFmtId="0" xfId="0">
      <alignment horizontal="center" vertical="center"/>
    </xf>
    <xf applyAlignment="true" applyBorder="false" applyFill="false" applyFont="true" applyNumberFormat="false" applyProtection="false" borderId="218" fillId="0" fontId="4" numFmtId="0" xfId="0">
      <alignment horizontal="center" vertical="center"/>
    </xf>
    <xf applyAlignment="true" applyBorder="false" applyFill="false" applyFont="true" applyNumberFormat="false" applyProtection="false" borderId="218"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18" fillId="191" fontId="3" numFmtId="0" xfId="0">
      <alignment horizontal="center" vertical="center" wrapText="true"/>
    </xf>
    <xf applyAlignment="true" applyBorder="false" applyFill="true" applyFont="true" applyNumberFormat="false" applyProtection="false" borderId="218" fillId="191" fontId="3" numFmtId="0" xfId="0">
      <alignment vertical="center" wrapText="true"/>
    </xf>
    <xf applyAlignment="true" applyBorder="false" applyFill="true" applyFont="true" applyNumberFormat="false" applyProtection="false" borderId="218" fillId="191" fontId="3" numFmtId="0" xfId="0">
      <alignment horizontal="center" vertical="center"/>
    </xf>
    <xf applyAlignment="true" applyBorder="false" applyFill="true" applyFont="true" applyNumberFormat="false" applyProtection="false" borderId="218" fillId="191" fontId="4" numFmtId="0" xfId="0">
      <alignment horizontal="center" vertical="center"/>
    </xf>
    <xf applyAlignment="true" applyBorder="false" applyFill="true" applyFont="true" applyNumberFormat="false" applyProtection="false" borderId="218" fillId="191" fontId="3" numFmtId="0" xfId="0">
      <alignment horizontal="center" vertical="center"/>
    </xf>
    <xf applyAlignment="true" applyBorder="false" applyFill="true" applyFont="true" applyNumberFormat="false" applyProtection="false" borderId="218" fillId="192" fontId="3" numFmtId="0" xfId="0">
      <alignment horizontal="center" vertical="center" wrapText="true"/>
    </xf>
    <xf applyAlignment="true" applyBorder="false" applyFill="true" applyFont="true" applyNumberFormat="false" applyProtection="false" borderId="218" fillId="192" fontId="3" numFmtId="0" xfId="0">
      <alignment vertical="center" wrapText="true"/>
    </xf>
    <xf applyAlignment="true" applyBorder="false" applyFill="true" applyFont="true" applyNumberFormat="false" applyProtection="false" borderId="218" fillId="192" fontId="3" numFmtId="0" xfId="0">
      <alignment horizontal="center" vertical="center"/>
    </xf>
    <xf applyAlignment="true" applyBorder="false" applyFill="true" applyFont="true" applyNumberFormat="false" applyProtection="false" borderId="218" fillId="192" fontId="4" numFmtId="0" xfId="0">
      <alignment horizontal="center" vertical="center"/>
    </xf>
    <xf applyAlignment="true" applyBorder="false" applyFill="true" applyFont="true" applyNumberFormat="false" applyProtection="false" borderId="218" fillId="192" fontId="3" numFmtId="0" xfId="0">
      <alignment horizontal="center" vertical="center"/>
    </xf>
    <xf applyAlignment="true" applyBorder="false" applyFill="true" applyFont="true" applyNumberFormat="false" applyProtection="false" borderId="218" fillId="193" fontId="5" numFmtId="0" xfId="0">
      <alignment horizontal="center" vertical="center"/>
    </xf>
    <xf applyAlignment="true" applyBorder="false" applyFill="true" applyFont="true" applyNumberFormat="false" applyProtection="false" borderId="218" fillId="193" fontId="3" numFmtId="0" xfId="0">
      <alignment vertical="center" wrapText="true"/>
    </xf>
    <xf applyAlignment="true" applyBorder="false" applyFill="true" applyFont="true" applyNumberFormat="false" applyProtection="false" borderId="218" fillId="193" fontId="3" numFmtId="0" xfId="0">
      <alignment horizontal="center" vertical="center"/>
    </xf>
    <xf applyAlignment="true" applyBorder="false" applyFill="true" applyFont="true" applyNumberFormat="false" applyProtection="false" borderId="218" fillId="193" fontId="4" numFmtId="0" xfId="0">
      <alignment horizontal="center" vertical="center"/>
    </xf>
    <xf applyAlignment="true" applyBorder="false" applyFill="true" applyFont="true" applyNumberFormat="false" applyProtection="false" borderId="218" fillId="193" fontId="3" numFmtId="0" xfId="0">
      <alignment horizontal="center" vertical="center"/>
    </xf>
    <xf applyAlignment="true" applyBorder="false" applyFill="true" applyFont="true" applyNumberFormat="false" applyProtection="false" borderId="218" fillId="186" fontId="3" numFmtId="0" xfId="0">
      <alignment horizontal="left" vertical="center" wrapText="true"/>
    </xf>
    <xf applyAlignment="true" applyBorder="false" applyFill="true" applyFont="true" applyNumberFormat="false" applyProtection="false" borderId="0" fillId="189" fontId="5" numFmtId="0" xfId="0">
      <alignment horizontal="center" vertical="center" wrapText="true"/>
    </xf>
    <xf applyAlignment="true" applyBorder="false" applyFill="true" applyFont="true" applyNumberFormat="false" applyProtection="false" borderId="218" fillId="189" fontId="3" numFmtId="0" xfId="0">
      <alignment horizontal="left" vertical="center" wrapText="true"/>
    </xf>
    <xf applyAlignment="true" applyBorder="false" applyFill="true" applyFont="true" applyNumberFormat="false" applyProtection="false" borderId="218" fillId="186" fontId="4" numFmtId="0" xfId="0">
      <alignment horizontal="center" vertical="center"/>
    </xf>
    <xf applyAlignment="true" applyBorder="false" applyFill="true" applyFont="true" applyNumberFormat="false" applyProtection="false" borderId="218" fillId="192" fontId="4" numFmtId="0" xfId="0">
      <alignment horizontal="center" vertical="center"/>
    </xf>
    <xf applyAlignment="true" applyBorder="false" applyFill="true" applyFont="true" applyNumberFormat="false" applyProtection="false" borderId="218" fillId="194" fontId="3" numFmtId="0" xfId="0">
      <alignment horizontal="center" vertical="center" wrapText="true"/>
    </xf>
    <xf applyAlignment="true" applyBorder="false" applyFill="true" applyFont="true" applyNumberFormat="false" applyProtection="false" borderId="218" fillId="194" fontId="3" numFmtId="0" xfId="0">
      <alignment horizontal="center" vertical="center"/>
    </xf>
    <xf applyAlignment="true" applyBorder="false" applyFill="true" applyFont="true" applyNumberFormat="false" applyProtection="false" borderId="218" fillId="194" fontId="4" numFmtId="0" xfId="0">
      <alignment horizontal="center" vertical="center"/>
    </xf>
    <xf applyAlignment="true" applyBorder="false" applyFill="true" applyFont="true" applyNumberFormat="false" applyProtection="false" borderId="218" fillId="194" fontId="3" numFmtId="0" xfId="0">
      <alignment horizontal="center" vertical="center"/>
    </xf>
    <xf applyAlignment="true" applyBorder="false" applyFill="true" applyFont="true" applyNumberFormat="false" applyProtection="false" borderId="218" fillId="195" fontId="3" numFmtId="0" xfId="0">
      <alignment horizontal="center" vertical="center" wrapText="true"/>
    </xf>
    <xf applyAlignment="true" applyBorder="false" applyFill="true" applyFont="true" applyNumberFormat="false" applyProtection="false" borderId="218" fillId="195" fontId="3" numFmtId="0" xfId="0">
      <alignment horizontal="left" vertical="center" wrapText="true"/>
    </xf>
    <xf applyAlignment="true" applyBorder="false" applyFill="true" applyFont="true" applyNumberFormat="false" applyProtection="false" borderId="218" fillId="195" fontId="3" numFmtId="0" xfId="0">
      <alignment horizontal="center" vertical="center"/>
    </xf>
    <xf applyAlignment="true" applyBorder="false" applyFill="true" applyFont="true" applyNumberFormat="false" applyProtection="false" borderId="218" fillId="195" fontId="4" numFmtId="0" xfId="0">
      <alignment horizontal="center" vertical="center"/>
    </xf>
    <xf applyAlignment="true" applyBorder="false" applyFill="true" applyFont="true" applyNumberFormat="false" applyProtection="false" borderId="219" fillId="195" fontId="5"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219" fillId="186" fontId="5" numFmtId="0" xfId="0">
      <alignment horizontal="center" vertical="center"/>
    </xf>
    <xf applyAlignment="true" applyBorder="false" applyFill="true" applyFont="true" applyNumberFormat="false" applyProtection="false" borderId="218" fillId="192" fontId="3" numFmtId="0" xfId="0">
      <alignment horizontal="left" vertical="center" wrapText="true"/>
    </xf>
    <xf applyAlignment="true" applyBorder="false" applyFill="true" applyFont="true" applyNumberFormat="false" applyProtection="false" borderId="219" fillId="192" fontId="5" numFmtId="0" xfId="0">
      <alignment horizontal="center" vertical="center"/>
    </xf>
    <xf applyAlignment="true" applyBorder="false" applyFill="true" applyFont="true" applyNumberFormat="false" applyProtection="false" borderId="218" fillId="196" fontId="3" numFmtId="0" xfId="0">
      <alignment horizontal="center" vertical="center" wrapText="true"/>
    </xf>
    <xf applyAlignment="true" applyBorder="false" applyFill="true" applyFont="true" applyNumberFormat="false" applyProtection="false" borderId="218" fillId="196" fontId="3" numFmtId="0" xfId="0">
      <alignment horizontal="left" vertical="center" wrapText="true"/>
    </xf>
    <xf applyAlignment="true" applyBorder="false" applyFill="true" applyFont="true" applyNumberFormat="false" applyProtection="false" borderId="218" fillId="196" fontId="3" numFmtId="0" xfId="0">
      <alignment horizontal="center" vertical="center"/>
    </xf>
    <xf applyAlignment="true" applyBorder="false" applyFill="true" applyFont="true" applyNumberFormat="false" applyProtection="false" borderId="218" fillId="196" fontId="4" numFmtId="0" xfId="0">
      <alignment horizontal="center" vertical="center"/>
    </xf>
    <xf applyAlignment="true" applyBorder="false" applyFill="true" applyFont="true" applyNumberFormat="false" applyProtection="false" borderId="219" fillId="196" fontId="5" numFmtId="0" xfId="0">
      <alignment horizontal="center" vertical="center"/>
    </xf>
    <xf applyAlignment="true" applyBorder="false" applyFill="true" applyFont="true" applyNumberFormat="false" applyProtection="false" borderId="218" fillId="194" fontId="3" numFmtId="0" xfId="0">
      <alignment horizontal="left" vertical="center" wrapText="true"/>
    </xf>
    <xf applyAlignment="true" applyBorder="false" applyFill="true" applyFont="true" applyNumberFormat="false" applyProtection="false" borderId="219" fillId="194" fontId="5" numFmtId="0" xfId="0">
      <alignment horizontal="center" vertical="center"/>
    </xf>
    <xf applyAlignment="true" applyBorder="false" applyFill="true" applyFont="true" applyNumberFormat="false" applyProtection="false" borderId="218" fillId="191" fontId="3" numFmtId="0" xfId="0">
      <alignment horizontal="left" vertical="center" wrapText="true"/>
    </xf>
    <xf applyAlignment="true" applyBorder="false" applyFill="true" applyFont="true" applyNumberFormat="false" applyProtection="false" borderId="219" fillId="191" fontId="5" numFmtId="0" xfId="0">
      <alignment horizontal="center" vertical="center"/>
    </xf>
    <xf applyAlignment="true" applyBorder="false" applyFill="true" applyFont="true" applyNumberFormat="false" applyProtection="false" borderId="218" fillId="187" fontId="3" numFmtId="0" xfId="0">
      <alignment horizontal="left" vertical="center" wrapText="true"/>
    </xf>
    <xf applyAlignment="true" applyBorder="false" applyFill="true" applyFont="true" applyNumberFormat="false" applyProtection="false" borderId="219" fillId="187"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18" fillId="188" fontId="3" numFmtId="0" xfId="0">
      <alignment horizontal="left" vertical="center" wrapText="true"/>
    </xf>
    <xf applyAlignment="true" applyBorder="false" applyFill="true" applyFont="true" applyNumberFormat="false" applyProtection="false" borderId="219" fillId="188" fontId="5" numFmtId="0" xfId="0">
      <alignment horizontal="center" vertical="center"/>
    </xf>
    <xf applyAlignment="true" applyBorder="false" applyFill="true" applyFont="true" applyNumberFormat="false" applyProtection="false" borderId="219" fillId="189" fontId="5" numFmtId="0" xfId="0">
      <alignment horizontal="center" vertical="center" wrapText="true"/>
    </xf>
    <xf applyAlignment="true" applyBorder="false" applyFill="true" applyFont="true" applyNumberFormat="false" applyProtection="false" borderId="219" fillId="189" fontId="5" numFmtId="0" xfId="0">
      <alignment horizontal="left" vertical="center" wrapText="true"/>
    </xf>
    <xf applyAlignment="true" applyBorder="false" applyFill="true" applyFont="true" applyNumberFormat="false" applyProtection="false" borderId="219" fillId="189" fontId="5" numFmtId="0" xfId="0">
      <alignment horizontal="center" vertical="center"/>
    </xf>
    <xf applyAlignment="true" applyBorder="false" applyFill="true" applyFont="true" applyNumberFormat="false" applyProtection="false" borderId="219" fillId="189" fontId="2" numFmtId="0" xfId="0">
      <alignment horizontal="center" vertical="center"/>
    </xf>
    <xf applyAlignment="true" applyBorder="false" applyFill="true" applyFont="true" applyNumberFormat="false" applyProtection="false" borderId="219" fillId="186" fontId="5" numFmtId="0" xfId="0">
      <alignment horizontal="center" vertical="center" wrapText="true"/>
    </xf>
    <xf applyAlignment="true" applyBorder="false" applyFill="true" applyFont="true" applyNumberFormat="false" applyProtection="false" borderId="219" fillId="186" fontId="5" numFmtId="0" xfId="0">
      <alignment horizontal="left" vertical="center" wrapText="true"/>
    </xf>
    <xf applyAlignment="true" applyBorder="false" applyFill="true" applyFont="true" applyNumberFormat="false" applyProtection="false" borderId="219" fillId="186" fontId="5" numFmtId="0" xfId="0">
      <alignment horizontal="center" vertical="center"/>
    </xf>
    <xf applyAlignment="true" applyBorder="false" applyFill="true" applyFont="true" applyNumberFormat="false" applyProtection="false" borderId="219" fillId="186" fontId="2" numFmtId="0" xfId="0">
      <alignment horizontal="center" vertical="center"/>
    </xf>
    <xf applyAlignment="true" applyBorder="false" applyFill="true" applyFont="true" applyNumberFormat="false" applyProtection="false" borderId="219" fillId="192" fontId="5" numFmtId="0" xfId="0">
      <alignment horizontal="center" vertical="center" wrapText="true"/>
    </xf>
    <xf applyAlignment="true" applyBorder="false" applyFill="true" applyFont="true" applyNumberFormat="false" applyProtection="false" borderId="219" fillId="192" fontId="5" numFmtId="0" xfId="0">
      <alignment horizontal="left" vertical="center" wrapText="true"/>
    </xf>
    <xf applyAlignment="true" applyBorder="false" applyFill="true" applyFont="true" applyNumberFormat="false" applyProtection="false" borderId="219" fillId="192" fontId="5" numFmtId="0" xfId="0">
      <alignment horizontal="center" vertical="center"/>
    </xf>
    <xf applyAlignment="true" applyBorder="false" applyFill="true" applyFont="true" applyNumberFormat="false" applyProtection="false" borderId="219" fillId="192" fontId="2" numFmtId="0" xfId="0">
      <alignment horizontal="center" vertical="center"/>
    </xf>
    <xf applyAlignment="true" applyBorder="false" applyFill="true" applyFont="true" applyNumberFormat="false" applyProtection="false" borderId="219" fillId="196" fontId="5" numFmtId="0" xfId="0">
      <alignment horizontal="center" vertical="center" wrapText="true"/>
    </xf>
    <xf applyAlignment="true" applyBorder="false" applyFill="true" applyFont="true" applyNumberFormat="false" applyProtection="false" borderId="219" fillId="196" fontId="5" numFmtId="0" xfId="0">
      <alignment horizontal="left" vertical="center" wrapText="true"/>
    </xf>
    <xf applyAlignment="true" applyBorder="false" applyFill="true" applyFont="true" applyNumberFormat="false" applyProtection="false" borderId="219" fillId="196" fontId="5" numFmtId="0" xfId="0">
      <alignment horizontal="center" vertical="center"/>
    </xf>
    <xf applyAlignment="true" applyBorder="false" applyFill="true" applyFont="true" applyNumberFormat="false" applyProtection="false" borderId="219" fillId="196" fontId="2" numFmtId="0" xfId="0">
      <alignment horizontal="center" vertical="center"/>
    </xf>
    <xf applyAlignment="true" applyBorder="false" applyFill="true" applyFont="true" applyNumberFormat="false" applyProtection="false" borderId="219" fillId="194" fontId="5" numFmtId="0" xfId="0">
      <alignment horizontal="center" vertical="center" wrapText="true"/>
    </xf>
    <xf applyAlignment="true" applyBorder="false" applyFill="true" applyFont="true" applyNumberFormat="false" applyProtection="false" borderId="219" fillId="194" fontId="5" numFmtId="0" xfId="0">
      <alignment horizontal="left" vertical="center" wrapText="true"/>
    </xf>
    <xf applyAlignment="true" applyBorder="false" applyFill="true" applyFont="true" applyNumberFormat="false" applyProtection="false" borderId="219" fillId="194" fontId="5" numFmtId="0" xfId="0">
      <alignment horizontal="center" vertical="center"/>
    </xf>
    <xf applyAlignment="true" applyBorder="false" applyFill="true" applyFont="true" applyNumberFormat="false" applyProtection="false" borderId="219" fillId="194" fontId="2" numFmtId="0" xfId="0">
      <alignment horizontal="center" vertical="center"/>
    </xf>
    <xf applyAlignment="true" applyBorder="false" applyFill="true" applyFont="true" applyNumberFormat="false" applyProtection="false" borderId="219" fillId="191" fontId="5" numFmtId="0" xfId="0">
      <alignment horizontal="center" vertical="center" wrapText="true"/>
    </xf>
    <xf applyAlignment="true" applyBorder="false" applyFill="true" applyFont="true" applyNumberFormat="false" applyProtection="false" borderId="219" fillId="191" fontId="5" numFmtId="0" xfId="0">
      <alignment horizontal="left" vertical="center" wrapText="true"/>
    </xf>
    <xf applyAlignment="true" applyBorder="false" applyFill="true" applyFont="true" applyNumberFormat="false" applyProtection="false" borderId="219" fillId="191" fontId="5" numFmtId="0" xfId="0">
      <alignment horizontal="center" vertical="center"/>
    </xf>
    <xf applyAlignment="true" applyBorder="false" applyFill="true" applyFont="true" applyNumberFormat="false" applyProtection="false" borderId="219" fillId="191" fontId="2" numFmtId="0" xfId="0">
      <alignment horizontal="center" vertical="center"/>
    </xf>
    <xf applyAlignment="true" applyBorder="false" applyFill="true" applyFont="true" applyNumberFormat="false" applyProtection="false" borderId="219" fillId="188" fontId="5" numFmtId="0" xfId="0">
      <alignment horizontal="center" vertical="center" wrapText="true"/>
    </xf>
    <xf applyAlignment="true" applyBorder="false" applyFill="true" applyFont="true" applyNumberFormat="false" applyProtection="false" borderId="219" fillId="188" fontId="5" numFmtId="0" xfId="0">
      <alignment horizontal="left" vertical="center" wrapText="true"/>
    </xf>
    <xf applyAlignment="true" applyBorder="false" applyFill="true" applyFont="true" applyNumberFormat="false" applyProtection="false" borderId="219" fillId="188" fontId="5" numFmtId="0" xfId="0">
      <alignment horizontal="center" vertical="center"/>
    </xf>
    <xf applyAlignment="true" applyBorder="false" applyFill="true" applyFont="true" applyNumberFormat="false" applyProtection="false" borderId="219" fillId="188" fontId="2" numFmtId="0" xfId="0">
      <alignment horizontal="center" vertical="center"/>
    </xf>
    <xf applyAlignment="true" applyBorder="false" applyFill="true" applyFont="true" applyNumberFormat="false" applyProtection="false" borderId="219" fillId="189" fontId="5" numFmtId="0" xfId="0">
      <alignment horizontal="center" vertical="center"/>
    </xf>
    <xf applyAlignment="true" applyBorder="false" applyFill="false" applyFont="true" applyNumberFormat="false" applyProtection="false" borderId="219" fillId="0" fontId="2" numFmtId="0" xfId="0">
      <alignment horizontal="center" vertical="center" wrapText="true"/>
    </xf>
    <xf applyAlignment="true" applyBorder="false" applyFill="false" applyFont="true" applyNumberFormat="false" applyProtection="false" borderId="219" fillId="0" fontId="5" numFmtId="0" xfId="0">
      <alignment horizontal="center" vertical="center"/>
    </xf>
    <xf applyAlignment="true" applyBorder="false" applyFill="false" applyFont="true" applyNumberFormat="false" applyProtection="false" borderId="219" fillId="0" fontId="2" numFmtId="0" xfId="0">
      <alignment horizontal="center" vertical="center"/>
    </xf>
    <xf applyAlignment="true" applyBorder="false" applyFill="false" applyFont="true" applyNumberFormat="false" applyProtection="false" borderId="219" fillId="0" fontId="2" numFmtId="0" xfId="0">
      <alignment vertical="center"/>
    </xf>
    <xf applyAlignment="true" applyBorder="false" applyFill="true" applyFont="true" applyNumberFormat="false" applyProtection="false" borderId="218" fillId="193" fontId="5" numFmtId="0" xfId="0">
      <alignment horizontal="center" vertical="center" wrapText="true"/>
    </xf>
    <xf applyAlignment="true" applyBorder="false" applyFill="true" applyFont="true" applyNumberFormat="false" applyProtection="false" borderId="218" fillId="188" fontId="5" numFmtId="0" xfId="0">
      <alignment horizontal="center" vertical="center"/>
    </xf>
    <xf applyAlignment="true" applyBorder="false" applyFill="true" applyFont="true" applyNumberFormat="false" applyProtection="false" borderId="218" fillId="189" fontId="5" numFmtId="0" xfId="0">
      <alignment horizontal="center" vertical="center" wrapText="true"/>
    </xf>
    <xf applyAlignment="true" applyBorder="false" applyFill="true" applyFont="true" applyNumberFormat="false" applyProtection="false" borderId="218" fillId="190" fontId="4" numFmtId="0" xfId="0">
      <alignment vertical="center"/>
    </xf>
    <xf applyAlignment="true" applyBorder="false" applyFill="true" applyFont="true" applyNumberFormat="false" applyProtection="false" borderId="219" fillId="195" fontId="2" numFmtId="0" xfId="0">
      <alignment horizontal="center" vertical="center"/>
    </xf>
    <xf applyAlignment="true" applyBorder="false" applyFill="true" applyFont="true" applyNumberFormat="false" applyProtection="false" borderId="218" fillId="190" fontId="4" numFmtId="0" xfId="0">
      <alignment vertical="center"/>
    </xf>
    <xf applyAlignment="true" applyBorder="false" applyFill="false" applyFont="true" applyNumberFormat="false" applyProtection="false" borderId="218" fillId="0" fontId="4" numFmtId="0" xfId="0">
      <alignment vertical="center"/>
    </xf>
    <xf applyAlignment="true" applyBorder="false" applyFill="false" applyFont="true" applyNumberFormat="false" applyProtection="false" borderId="220" fillId="0" fontId="4" numFmtId="0" xfId="0">
      <alignment vertical="center"/>
    </xf>
    <xf applyAlignment="true" applyBorder="false" applyFill="false" applyFont="true" applyNumberFormat="false" applyProtection="false" borderId="220" fillId="0" fontId="4" numFmtId="0" xfId="0">
      <alignment vertical="center"/>
    </xf>
    <xf applyAlignment="true" applyBorder="false" applyFill="false" applyFont="true" applyNumberFormat="false" applyProtection="false" borderId="221" fillId="0" fontId="2" numFmtId="0" xfId="0">
      <alignment vertical="center"/>
    </xf>
    <xf applyAlignment="true" applyBorder="false" applyFill="false" applyFont="true" applyNumberFormat="false" applyProtection="false" borderId="222" fillId="0" fontId="4" numFmtId="0" xfId="0">
      <alignment vertical="center"/>
    </xf>
    <xf applyAlignment="true" applyBorder="false" applyFill="false" applyFont="true" applyNumberFormat="false" applyProtection="false" borderId="223" fillId="0" fontId="4" numFmtId="0" xfId="0">
      <alignment vertical="center"/>
    </xf>
    <xf applyAlignment="true" applyBorder="false" applyFill="false" applyFont="true" applyNumberFormat="false" applyProtection="false" borderId="224" fillId="0" fontId="2" numFmtId="0" xfId="0">
      <alignment vertical="center"/>
    </xf>
    <xf applyAlignment="true" applyBorder="false" applyFill="false" applyFont="true" applyNumberFormat="false" applyProtection="false" borderId="225" fillId="0" fontId="4" numFmtId="0" xfId="0">
      <alignment vertical="center"/>
    </xf>
    <xf applyAlignment="true" applyBorder="false" applyFill="false" applyFont="true" applyNumberFormat="false" applyProtection="false" borderId="226" fillId="0" fontId="4" numFmtId="0" xfId="0">
      <alignment vertical="center"/>
    </xf>
    <xf applyAlignment="true" applyBorder="false" applyFill="false" applyFont="true" applyNumberFormat="false" applyProtection="false" borderId="226" fillId="0" fontId="2" numFmtId="0" xfId="0">
      <alignment vertical="center"/>
    </xf>
    <xf applyAlignment="true" applyBorder="false" applyFill="false" applyFont="true" applyNumberFormat="false" applyProtection="false" borderId="226" fillId="0" fontId="4" numFmtId="0" xfId="0">
      <alignment vertical="center"/>
    </xf>
    <xf applyAlignment="true" applyBorder="false" applyFill="false" applyFont="true" applyNumberFormat="false" applyProtection="false" borderId="227" fillId="0" fontId="4" numFmtId="0" xfId="0">
      <alignment vertical="center"/>
    </xf>
    <xf applyAlignment="true" applyBorder="false" applyFill="false" applyFont="true" applyNumberFormat="false" applyProtection="false" borderId="228" fillId="0" fontId="4" numFmtId="0" xfId="0">
      <alignment vertical="center"/>
    </xf>
    <xf applyAlignment="true" applyBorder="false" applyFill="false" applyFont="true" applyNumberFormat="false" applyProtection="false" borderId="229" fillId="0" fontId="1" numFmtId="0" xfId="0">
      <alignment horizontal="center" vertical="center" wrapText="true"/>
    </xf>
    <xf applyAlignment="true" applyBorder="false" applyFill="false" applyFont="true" applyNumberFormat="false" applyProtection="false" borderId="229" fillId="0" fontId="1" numFmtId="0" xfId="0">
      <alignment horizontal="center" vertical="center" wrapText="true"/>
    </xf>
    <xf applyAlignment="true" applyBorder="false" applyFill="false" applyFont="true" applyNumberFormat="true" applyProtection="false" borderId="229" fillId="0" fontId="1" numFmtId="185" xfId="0">
      <alignment horizontal="center" vertical="center" wrapText="true"/>
    </xf>
    <xf applyAlignment="true" applyBorder="false" applyFill="false" applyFont="true" applyNumberFormat="false" applyProtection="false" borderId="230"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31" fillId="0" fontId="6" numFmtId="0" xfId="0">
      <alignment horizontal="left" vertical="center" wrapText="true"/>
    </xf>
    <xf applyAlignment="true" applyBorder="false" applyFill="true" applyFont="true" applyNumberFormat="false" applyProtection="false" borderId="232" fillId="197" fontId="3" numFmtId="0" xfId="0">
      <alignment horizontal="center" vertical="center" wrapText="true"/>
    </xf>
    <xf applyAlignment="true" applyBorder="false" applyFill="false" applyFont="true" applyNumberFormat="false" applyProtection="false" borderId="232" fillId="0" fontId="3" numFmtId="0" xfId="0">
      <alignment horizontal="center" vertical="center"/>
    </xf>
    <xf applyAlignment="true" applyBorder="false" applyFill="true" applyFont="true" applyNumberFormat="false" applyProtection="false" borderId="232" fillId="198" fontId="3" numFmtId="0" xfId="0">
      <alignment horizontal="center" vertical="center" wrapText="true"/>
    </xf>
    <xf applyAlignment="true" applyBorder="false" applyFill="true" applyFont="true" applyNumberFormat="false" applyProtection="false" borderId="232" fillId="198" fontId="3" numFmtId="0" xfId="0">
      <alignment vertical="center" wrapText="true"/>
    </xf>
    <xf applyAlignment="true" applyBorder="false" applyFill="true" applyFont="true" applyNumberFormat="false" applyProtection="false" borderId="232" fillId="198" fontId="3" numFmtId="0" xfId="0">
      <alignment horizontal="center" vertical="center"/>
    </xf>
    <xf applyAlignment="true" applyBorder="false" applyFill="true" applyFont="true" applyNumberFormat="false" applyProtection="false" borderId="232" fillId="198" fontId="4" numFmtId="0" xfId="0">
      <alignment horizontal="center" vertical="center"/>
    </xf>
    <xf applyAlignment="true" applyBorder="false" applyFill="true" applyFont="true" applyNumberFormat="false" applyProtection="false" borderId="232" fillId="198"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32" fillId="199" fontId="3" numFmtId="0" xfId="0">
      <alignment horizontal="center" vertical="center" wrapText="true"/>
    </xf>
    <xf applyAlignment="true" applyBorder="false" applyFill="true" applyFont="true" applyNumberFormat="false" applyProtection="false" borderId="232" fillId="199" fontId="3" numFmtId="0" xfId="0">
      <alignment vertical="center" wrapText="true"/>
    </xf>
    <xf applyAlignment="true" applyBorder="false" applyFill="true" applyFont="true" applyNumberFormat="false" applyProtection="false" borderId="232" fillId="199" fontId="3" numFmtId="0" xfId="0">
      <alignment horizontal="center" vertical="center"/>
    </xf>
    <xf applyAlignment="true" applyBorder="false" applyFill="true" applyFont="true" applyNumberFormat="false" applyProtection="false" borderId="232" fillId="199" fontId="4" numFmtId="0" xfId="0">
      <alignment horizontal="center" vertical="center"/>
    </xf>
    <xf applyAlignment="true" applyBorder="false" applyFill="true" applyFont="true" applyNumberFormat="false" applyProtection="false" borderId="232" fillId="199" fontId="3" numFmtId="0" xfId="0">
      <alignment horizontal="center" vertical="center"/>
    </xf>
    <xf applyAlignment="true" applyBorder="false" applyFill="true" applyFont="true" applyNumberFormat="false" applyProtection="false" borderId="232" fillId="200" fontId="3" numFmtId="0" xfId="0">
      <alignment horizontal="center" vertical="center" wrapText="true"/>
    </xf>
    <xf applyAlignment="true" applyBorder="false" applyFill="true" applyFont="true" applyNumberFormat="false" applyProtection="false" borderId="232" fillId="200" fontId="3" numFmtId="0" xfId="0">
      <alignment vertical="center" wrapText="true"/>
    </xf>
    <xf applyAlignment="true" applyBorder="false" applyFill="true" applyFont="true" applyNumberFormat="false" applyProtection="false" borderId="232" fillId="200" fontId="3" numFmtId="0" xfId="0">
      <alignment horizontal="center" vertical="center"/>
    </xf>
    <xf applyAlignment="true" applyBorder="false" applyFill="true" applyFont="true" applyNumberFormat="false" applyProtection="false" borderId="232" fillId="200" fontId="4" numFmtId="0" xfId="0">
      <alignment horizontal="center" vertical="center"/>
    </xf>
    <xf applyAlignment="true" applyBorder="false" applyFill="true" applyFont="true" applyNumberFormat="false" applyProtection="false" borderId="232" fillId="200" fontId="3" numFmtId="0" xfId="0">
      <alignment horizontal="center" vertical="center"/>
    </xf>
    <xf applyAlignment="true" applyBorder="false" applyFill="true" applyFont="true" applyNumberFormat="false" applyProtection="false" borderId="232" fillId="197" fontId="3" numFmtId="0" xfId="0">
      <alignment vertical="center" wrapText="true"/>
    </xf>
    <xf applyAlignment="true" applyBorder="false" applyFill="true" applyFont="true" applyNumberFormat="false" applyProtection="false" borderId="232" fillId="197" fontId="3" numFmtId="0" xfId="0">
      <alignment horizontal="center" vertical="center"/>
    </xf>
    <xf applyAlignment="true" applyBorder="false" applyFill="true" applyFont="true" applyNumberFormat="false" applyProtection="false" borderId="232" fillId="197" fontId="4" numFmtId="0" xfId="0">
      <alignment horizontal="center" vertical="center"/>
    </xf>
    <xf applyAlignment="true" applyBorder="false" applyFill="true" applyFont="true" applyNumberFormat="false" applyProtection="false" borderId="232" fillId="197" fontId="3" numFmtId="0" xfId="0">
      <alignment horizontal="center" vertical="center"/>
    </xf>
    <xf applyAlignment="true" applyBorder="false" applyFill="true" applyFont="true" applyNumberFormat="false" applyProtection="false" borderId="232" fillId="201" fontId="3" numFmtId="0" xfId="0">
      <alignment horizontal="center" vertical="center" wrapText="true"/>
    </xf>
    <xf applyAlignment="true" applyBorder="false" applyFill="true" applyFont="true" applyNumberFormat="false" applyProtection="false" borderId="232" fillId="201" fontId="3" numFmtId="0" xfId="0">
      <alignment horizontal="center" vertical="center"/>
    </xf>
    <xf applyAlignment="true" applyBorder="false" applyFill="true" applyFont="true" applyNumberFormat="false" applyProtection="false" borderId="232" fillId="201"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32"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32" fillId="0" fontId="4" numFmtId="0" xfId="0">
      <alignment horizontal="center" vertical="center" wrapText="true"/>
    </xf>
    <xf applyAlignment="true" applyBorder="false" applyFill="false" applyFont="true" applyNumberFormat="false" applyProtection="false" borderId="232" fillId="0" fontId="3" numFmtId="0" xfId="0">
      <alignment horizontal="center" vertical="center"/>
    </xf>
    <xf applyAlignment="true" applyBorder="false" applyFill="false" applyFont="true" applyNumberFormat="false" applyProtection="false" borderId="232" fillId="0" fontId="4" numFmtId="0" xfId="0">
      <alignment horizontal="center" vertical="center"/>
    </xf>
    <xf applyAlignment="true" applyBorder="false" applyFill="false" applyFont="true" applyNumberFormat="false" applyProtection="false" borderId="232"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32" fillId="202" fontId="3" numFmtId="0" xfId="0">
      <alignment horizontal="center" vertical="center" wrapText="true"/>
    </xf>
    <xf applyAlignment="true" applyBorder="false" applyFill="true" applyFont="true" applyNumberFormat="false" applyProtection="false" borderId="232" fillId="202" fontId="3" numFmtId="0" xfId="0">
      <alignment vertical="center" wrapText="true"/>
    </xf>
    <xf applyAlignment="true" applyBorder="false" applyFill="true" applyFont="true" applyNumberFormat="false" applyProtection="false" borderId="232" fillId="202" fontId="3" numFmtId="0" xfId="0">
      <alignment horizontal="center" vertical="center"/>
    </xf>
    <xf applyAlignment="true" applyBorder="false" applyFill="true" applyFont="true" applyNumberFormat="false" applyProtection="false" borderId="232" fillId="202" fontId="4" numFmtId="0" xfId="0">
      <alignment horizontal="center" vertical="center"/>
    </xf>
    <xf applyAlignment="true" applyBorder="false" applyFill="true" applyFont="true" applyNumberFormat="false" applyProtection="false" borderId="232" fillId="202" fontId="3" numFmtId="0" xfId="0">
      <alignment horizontal="center" vertical="center"/>
    </xf>
    <xf applyAlignment="true" applyBorder="false" applyFill="true" applyFont="true" applyNumberFormat="false" applyProtection="false" borderId="232" fillId="203" fontId="3" numFmtId="0" xfId="0">
      <alignment horizontal="center" vertical="center" wrapText="true"/>
    </xf>
    <xf applyAlignment="true" applyBorder="false" applyFill="true" applyFont="true" applyNumberFormat="false" applyProtection="false" borderId="232" fillId="203" fontId="3" numFmtId="0" xfId="0">
      <alignment vertical="center" wrapText="true"/>
    </xf>
    <xf applyAlignment="true" applyBorder="false" applyFill="true" applyFont="true" applyNumberFormat="false" applyProtection="false" borderId="232" fillId="203" fontId="3" numFmtId="0" xfId="0">
      <alignment horizontal="center" vertical="center"/>
    </xf>
    <xf applyAlignment="true" applyBorder="false" applyFill="true" applyFont="true" applyNumberFormat="false" applyProtection="false" borderId="232" fillId="203" fontId="4" numFmtId="0" xfId="0">
      <alignment horizontal="center" vertical="center"/>
    </xf>
    <xf applyAlignment="true" applyBorder="false" applyFill="true" applyFont="true" applyNumberFormat="false" applyProtection="false" borderId="232" fillId="203" fontId="3" numFmtId="0" xfId="0">
      <alignment horizontal="center" vertical="center"/>
    </xf>
    <xf applyAlignment="true" applyBorder="false" applyFill="true" applyFont="true" applyNumberFormat="false" applyProtection="false" borderId="232" fillId="204" fontId="5" numFmtId="0" xfId="0">
      <alignment horizontal="center" vertical="center" wrapText="true"/>
    </xf>
    <xf applyAlignment="true" applyBorder="false" applyFill="true" applyFont="true" applyNumberFormat="false" applyProtection="false" borderId="232" fillId="204" fontId="3" numFmtId="0" xfId="0">
      <alignment vertical="center" wrapText="true"/>
    </xf>
    <xf applyAlignment="true" applyBorder="false" applyFill="true" applyFont="true" applyNumberFormat="false" applyProtection="false" borderId="232" fillId="204" fontId="3" numFmtId="0" xfId="0">
      <alignment horizontal="center" vertical="center"/>
    </xf>
    <xf applyAlignment="true" applyBorder="false" applyFill="true" applyFont="true" applyNumberFormat="false" applyProtection="false" borderId="232" fillId="204" fontId="4" numFmtId="0" xfId="0">
      <alignment horizontal="center" vertical="center"/>
    </xf>
    <xf applyAlignment="true" applyBorder="false" applyFill="true" applyFont="true" applyNumberFormat="false" applyProtection="false" borderId="232" fillId="204" fontId="3" numFmtId="0" xfId="0">
      <alignment horizontal="center" vertical="center"/>
    </xf>
    <xf applyAlignment="true" applyBorder="false" applyFill="true" applyFont="true" applyNumberFormat="false" applyProtection="false" borderId="232" fillId="197" fontId="3" numFmtId="0" xfId="0">
      <alignment horizontal="left" vertical="center" wrapText="true"/>
    </xf>
    <xf applyAlignment="true" applyBorder="false" applyFill="true" applyFont="true" applyNumberFormat="false" applyProtection="false" borderId="0" fillId="200" fontId="5" numFmtId="0" xfId="0">
      <alignment horizontal="center" vertical="center" wrapText="true"/>
    </xf>
    <xf applyAlignment="true" applyBorder="false" applyFill="true" applyFont="true" applyNumberFormat="false" applyProtection="false" borderId="232" fillId="200" fontId="3" numFmtId="0" xfId="0">
      <alignment horizontal="left" vertical="center" wrapText="true"/>
    </xf>
    <xf applyAlignment="true" applyBorder="false" applyFill="true" applyFont="true" applyNumberFormat="false" applyProtection="false" borderId="232" fillId="205" fontId="3" numFmtId="0" xfId="0">
      <alignment horizontal="center" vertical="center" wrapText="true"/>
    </xf>
    <xf applyAlignment="true" applyBorder="false" applyFill="true" applyFont="true" applyNumberFormat="false" applyProtection="false" borderId="232" fillId="205" fontId="3" numFmtId="0" xfId="0">
      <alignment horizontal="center" vertical="center"/>
    </xf>
    <xf applyAlignment="true" applyBorder="false" applyFill="true" applyFont="true" applyNumberFormat="false" applyProtection="false" borderId="232" fillId="205" fontId="4" numFmtId="0" xfId="0">
      <alignment horizontal="center" vertical="center"/>
    </xf>
    <xf applyAlignment="true" applyBorder="false" applyFill="true" applyFont="true" applyNumberFormat="false" applyProtection="false" borderId="232" fillId="205" fontId="3" numFmtId="0" xfId="0">
      <alignment horizontal="center" vertical="center"/>
    </xf>
    <xf applyAlignment="true" applyBorder="false" applyFill="true" applyFont="true" applyNumberFormat="false" applyProtection="false" borderId="232" fillId="206" fontId="3" numFmtId="0" xfId="0">
      <alignment horizontal="center" vertical="center" wrapText="true"/>
    </xf>
    <xf applyAlignment="true" applyBorder="false" applyFill="true" applyFont="true" applyNumberFormat="false" applyProtection="false" borderId="232" fillId="206" fontId="3" numFmtId="0" xfId="0">
      <alignment horizontal="left" vertical="center" wrapText="true"/>
    </xf>
    <xf applyAlignment="true" applyBorder="false" applyFill="true" applyFont="true" applyNumberFormat="false" applyProtection="false" borderId="232" fillId="206" fontId="3" numFmtId="0" xfId="0">
      <alignment horizontal="center" vertical="center"/>
    </xf>
    <xf applyAlignment="true" applyBorder="false" applyFill="true" applyFont="true" applyNumberFormat="false" applyProtection="false" borderId="232" fillId="206" fontId="4" numFmtId="0" xfId="0">
      <alignment horizontal="center" vertical="center"/>
    </xf>
    <xf applyAlignment="true" applyBorder="false" applyFill="true" applyFont="true" applyNumberFormat="false" applyProtection="false" borderId="233" fillId="206" fontId="5"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233" fillId="197" fontId="5" numFmtId="0" xfId="0">
      <alignment horizontal="center" vertical="center"/>
    </xf>
    <xf applyAlignment="true" applyBorder="false" applyFill="true" applyFont="true" applyNumberFormat="false" applyProtection="false" borderId="232" fillId="203" fontId="3" numFmtId="0" xfId="0">
      <alignment horizontal="left" vertical="center" wrapText="true"/>
    </xf>
    <xf applyAlignment="true" applyBorder="false" applyFill="true" applyFont="true" applyNumberFormat="false" applyProtection="false" borderId="233" fillId="203" fontId="5" numFmtId="0" xfId="0">
      <alignment horizontal="center" vertical="center"/>
    </xf>
    <xf applyAlignment="true" applyBorder="false" applyFill="true" applyFont="true" applyNumberFormat="false" applyProtection="false" borderId="232" fillId="207" fontId="3" numFmtId="0" xfId="0">
      <alignment horizontal="center" vertical="center" wrapText="true"/>
    </xf>
    <xf applyAlignment="true" applyBorder="false" applyFill="true" applyFont="true" applyNumberFormat="false" applyProtection="false" borderId="232" fillId="207" fontId="3" numFmtId="0" xfId="0">
      <alignment horizontal="left" vertical="center" wrapText="true"/>
    </xf>
    <xf applyAlignment="true" applyBorder="false" applyFill="true" applyFont="true" applyNumberFormat="false" applyProtection="false" borderId="232" fillId="207" fontId="3" numFmtId="0" xfId="0">
      <alignment horizontal="center" vertical="center"/>
    </xf>
    <xf applyAlignment="true" applyBorder="false" applyFill="true" applyFont="true" applyNumberFormat="false" applyProtection="false" borderId="232" fillId="207" fontId="4" numFmtId="0" xfId="0">
      <alignment horizontal="center" vertical="center"/>
    </xf>
    <xf applyAlignment="true" applyBorder="false" applyFill="true" applyFont="true" applyNumberFormat="false" applyProtection="false" borderId="233" fillId="207" fontId="5" numFmtId="0" xfId="0">
      <alignment horizontal="center" vertical="center"/>
    </xf>
    <xf applyAlignment="true" applyBorder="false" applyFill="true" applyFont="true" applyNumberFormat="false" applyProtection="false" borderId="232" fillId="205" fontId="3" numFmtId="0" xfId="0">
      <alignment horizontal="left" vertical="center" wrapText="true"/>
    </xf>
    <xf applyAlignment="true" applyBorder="false" applyFill="true" applyFont="true" applyNumberFormat="false" applyProtection="false" borderId="233" fillId="205" fontId="5" numFmtId="0" xfId="0">
      <alignment horizontal="center" vertical="center"/>
    </xf>
    <xf applyAlignment="true" applyBorder="false" applyFill="true" applyFont="true" applyNumberFormat="false" applyProtection="false" borderId="232" fillId="202" fontId="3" numFmtId="0" xfId="0">
      <alignment horizontal="left" vertical="center" wrapText="true"/>
    </xf>
    <xf applyAlignment="true" applyBorder="false" applyFill="true" applyFont="true" applyNumberFormat="false" applyProtection="false" borderId="233" fillId="202" fontId="5" numFmtId="0" xfId="0">
      <alignment horizontal="center" vertical="center"/>
    </xf>
    <xf applyAlignment="true" applyBorder="false" applyFill="true" applyFont="true" applyNumberFormat="false" applyProtection="false" borderId="232" fillId="198" fontId="3" numFmtId="0" xfId="0">
      <alignment horizontal="left" vertical="center" wrapText="true"/>
    </xf>
    <xf applyAlignment="true" applyBorder="false" applyFill="true" applyFont="true" applyNumberFormat="false" applyProtection="false" borderId="233" fillId="198"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32" fillId="199" fontId="3" numFmtId="0" xfId="0">
      <alignment horizontal="left" vertical="center" wrapText="true"/>
    </xf>
    <xf applyAlignment="true" applyBorder="false" applyFill="true" applyFont="true" applyNumberFormat="false" applyProtection="false" borderId="233" fillId="199" fontId="5" numFmtId="0" xfId="0">
      <alignment horizontal="center" vertical="center"/>
    </xf>
    <xf applyAlignment="true" applyBorder="false" applyFill="true" applyFont="true" applyNumberFormat="false" applyProtection="false" borderId="233" fillId="200" fontId="5" numFmtId="0" xfId="0">
      <alignment horizontal="center" vertical="center"/>
    </xf>
    <xf applyAlignment="true" applyBorder="false" applyFill="true" applyFont="true" applyNumberFormat="false" applyProtection="false" borderId="233" fillId="200" fontId="2" numFmtId="0" xfId="0">
      <alignment horizontal="center" vertical="center"/>
    </xf>
    <xf applyAlignment="true" applyBorder="false" applyFill="true" applyFont="true" applyNumberFormat="false" applyProtection="false" borderId="233" fillId="197" fontId="5" numFmtId="0" xfId="0">
      <alignment horizontal="center" vertical="center"/>
    </xf>
    <xf applyAlignment="true" applyBorder="false" applyFill="true" applyFont="true" applyNumberFormat="false" applyProtection="false" borderId="233" fillId="197" fontId="2" numFmtId="0" xfId="0">
      <alignment horizontal="center" vertical="center"/>
    </xf>
    <xf applyAlignment="true" applyBorder="false" applyFill="true" applyFont="true" applyNumberFormat="false" applyProtection="false" borderId="233" fillId="203" fontId="5" numFmtId="0" xfId="0">
      <alignment horizontal="center" vertical="center" wrapText="true"/>
    </xf>
    <xf applyAlignment="true" applyBorder="false" applyFill="true" applyFont="true" applyNumberFormat="false" applyProtection="false" borderId="233" fillId="203" fontId="5" numFmtId="0" xfId="0">
      <alignment horizontal="left" vertical="center" wrapText="true"/>
    </xf>
    <xf applyAlignment="true" applyBorder="false" applyFill="true" applyFont="true" applyNumberFormat="false" applyProtection="false" borderId="233" fillId="203" fontId="5" numFmtId="0" xfId="0">
      <alignment horizontal="center" vertical="center"/>
    </xf>
    <xf applyAlignment="true" applyBorder="false" applyFill="true" applyFont="true" applyNumberFormat="false" applyProtection="false" borderId="233" fillId="203" fontId="2" numFmtId="0" xfId="0">
      <alignment horizontal="center" vertical="center"/>
    </xf>
    <xf applyAlignment="true" applyBorder="false" applyFill="true" applyFont="true" applyNumberFormat="false" applyProtection="false" borderId="233" fillId="207" fontId="5" numFmtId="0" xfId="0">
      <alignment horizontal="center" vertical="center" wrapText="true"/>
    </xf>
    <xf applyAlignment="true" applyBorder="false" applyFill="true" applyFont="true" applyNumberFormat="false" applyProtection="false" borderId="233" fillId="207" fontId="5" numFmtId="0" xfId="0">
      <alignment horizontal="left" vertical="center" wrapText="true"/>
    </xf>
    <xf applyAlignment="true" applyBorder="false" applyFill="true" applyFont="true" applyNumberFormat="false" applyProtection="false" borderId="233" fillId="207" fontId="5" numFmtId="0" xfId="0">
      <alignment horizontal="center" vertical="center"/>
    </xf>
    <xf applyAlignment="true" applyBorder="false" applyFill="true" applyFont="true" applyNumberFormat="false" applyProtection="false" borderId="233" fillId="207" fontId="2" numFmtId="0" xfId="0">
      <alignment horizontal="center" vertical="center"/>
    </xf>
    <xf applyAlignment="true" applyBorder="false" applyFill="true" applyFont="true" applyNumberFormat="false" applyProtection="false" borderId="233" fillId="205" fontId="5" numFmtId="0" xfId="0">
      <alignment horizontal="center" vertical="center" wrapText="true"/>
    </xf>
    <xf applyAlignment="true" applyBorder="false" applyFill="true" applyFont="true" applyNumberFormat="false" applyProtection="false" borderId="233" fillId="205" fontId="5" numFmtId="0" xfId="0">
      <alignment horizontal="left" vertical="center" wrapText="true"/>
    </xf>
    <xf applyAlignment="true" applyBorder="false" applyFill="true" applyFont="true" applyNumberFormat="false" applyProtection="false" borderId="233" fillId="205" fontId="5" numFmtId="0" xfId="0">
      <alignment horizontal="center" vertical="center"/>
    </xf>
    <xf applyAlignment="true" applyBorder="false" applyFill="true" applyFont="true" applyNumberFormat="false" applyProtection="false" borderId="233" fillId="205" fontId="2" numFmtId="0" xfId="0">
      <alignment horizontal="center" vertical="center"/>
    </xf>
    <xf applyAlignment="true" applyBorder="false" applyFill="true" applyFont="true" applyNumberFormat="false" applyProtection="false" borderId="233" fillId="202" fontId="5" numFmtId="0" xfId="0">
      <alignment horizontal="center" vertical="center" wrapText="true"/>
    </xf>
    <xf applyAlignment="true" applyBorder="false" applyFill="true" applyFont="true" applyNumberFormat="false" applyProtection="false" borderId="233" fillId="202" fontId="5" numFmtId="0" xfId="0">
      <alignment horizontal="left" vertical="center" wrapText="true"/>
    </xf>
    <xf applyAlignment="true" applyBorder="false" applyFill="true" applyFont="true" applyNumberFormat="false" applyProtection="false" borderId="233" fillId="202" fontId="5" numFmtId="0" xfId="0">
      <alignment horizontal="center" vertical="center"/>
    </xf>
    <xf applyAlignment="true" applyBorder="false" applyFill="true" applyFont="true" applyNumberFormat="false" applyProtection="false" borderId="233" fillId="202" fontId="2" numFmtId="0" xfId="0">
      <alignment horizontal="center" vertical="center"/>
    </xf>
    <xf applyAlignment="true" applyBorder="false" applyFill="true" applyFont="true" applyNumberFormat="false" applyProtection="false" borderId="233" fillId="199" fontId="5" numFmtId="0" xfId="0">
      <alignment horizontal="center" vertical="center" wrapText="true"/>
    </xf>
    <xf applyAlignment="true" applyBorder="false" applyFill="true" applyFont="true" applyNumberFormat="false" applyProtection="false" borderId="233" fillId="199" fontId="5" numFmtId="0" xfId="0">
      <alignment horizontal="left" vertical="center" wrapText="true"/>
    </xf>
    <xf applyAlignment="true" applyBorder="false" applyFill="true" applyFont="true" applyNumberFormat="false" applyProtection="false" borderId="233" fillId="199" fontId="5" numFmtId="0" xfId="0">
      <alignment horizontal="center" vertical="center"/>
    </xf>
    <xf applyAlignment="true" applyBorder="false" applyFill="true" applyFont="true" applyNumberFormat="false" applyProtection="false" borderId="233" fillId="199" fontId="2" numFmtId="0" xfId="0">
      <alignment horizontal="center" vertical="center"/>
    </xf>
    <xf applyAlignment="true" applyBorder="false" applyFill="true" applyFont="true" applyNumberFormat="false" applyProtection="false" borderId="233" fillId="200" fontId="5" numFmtId="0" xfId="0">
      <alignment horizontal="center" vertical="center" wrapText="true"/>
    </xf>
    <xf applyAlignment="true" applyBorder="false" applyFill="true" applyFont="true" applyNumberFormat="false" applyProtection="false" borderId="233" fillId="200" fontId="5" numFmtId="0" xfId="0">
      <alignment horizontal="left" vertical="center" wrapText="true"/>
    </xf>
    <xf applyAlignment="true" applyBorder="false" applyFill="true" applyFont="true" applyNumberFormat="false" applyProtection="false" borderId="233" fillId="200" fontId="5" numFmtId="0" xfId="0">
      <alignment horizontal="center" vertical="center"/>
    </xf>
    <xf applyAlignment="true" applyBorder="false" applyFill="false" applyFont="true" applyNumberFormat="false" applyProtection="false" borderId="233" fillId="0" fontId="2" numFmtId="0" xfId="0">
      <alignment horizontal="center" vertical="center" wrapText="true"/>
    </xf>
    <xf applyAlignment="true" applyBorder="false" applyFill="false" applyFont="true" applyNumberFormat="false" applyProtection="false" borderId="233" fillId="0" fontId="5" numFmtId="0" xfId="0">
      <alignment horizontal="center" vertical="center"/>
    </xf>
    <xf applyAlignment="true" applyBorder="false" applyFill="false" applyFont="true" applyNumberFormat="false" applyProtection="false" borderId="233" fillId="0" fontId="2" numFmtId="0" xfId="0">
      <alignment horizontal="center" vertical="center"/>
    </xf>
    <xf applyAlignment="true" applyBorder="false" applyFill="false" applyFont="true" applyNumberFormat="false" applyProtection="false" borderId="233" fillId="0" fontId="2" numFmtId="0" xfId="0">
      <alignment vertical="center"/>
    </xf>
    <xf applyAlignment="true" applyBorder="false" applyFill="true" applyFont="true" applyNumberFormat="false" applyProtection="false" borderId="232" fillId="199" fontId="5" numFmtId="0" xfId="0">
      <alignment horizontal="center" vertical="center"/>
    </xf>
    <xf applyAlignment="true" applyBorder="false" applyFill="true" applyFont="true" applyNumberFormat="false" applyProtection="false" borderId="232" fillId="200" fontId="5" numFmtId="0" xfId="0">
      <alignment horizontal="center" vertical="center" wrapText="true"/>
    </xf>
    <xf applyAlignment="true" applyBorder="false" applyFill="true" applyFont="true" applyNumberFormat="false" applyProtection="false" borderId="233" fillId="197" fontId="5" numFmtId="0" xfId="0">
      <alignment horizontal="center" vertical="center" wrapText="true"/>
    </xf>
    <xf applyAlignment="true" applyBorder="false" applyFill="true" applyFont="true" applyNumberFormat="false" applyProtection="false" borderId="233" fillId="197" fontId="5" numFmtId="0" xfId="0">
      <alignment horizontal="left" vertical="center" wrapText="true"/>
    </xf>
    <xf applyAlignment="true" applyBorder="false" applyFill="true" applyFont="true" applyNumberFormat="false" applyProtection="false" borderId="232" fillId="201" fontId="4" numFmtId="0" xfId="0">
      <alignment vertical="center"/>
    </xf>
    <xf applyAlignment="true" applyBorder="false" applyFill="true" applyFont="true" applyNumberFormat="false" applyProtection="false" borderId="233" fillId="206" fontId="2" numFmtId="0" xfId="0">
      <alignment horizontal="center" vertical="center"/>
    </xf>
    <xf applyAlignment="true" applyBorder="false" applyFill="true" applyFont="true" applyNumberFormat="false" applyProtection="false" borderId="232" fillId="201" fontId="4" numFmtId="0" xfId="0">
      <alignment vertical="center"/>
    </xf>
    <xf applyAlignment="true" applyBorder="false" applyFill="false" applyFont="true" applyNumberFormat="false" applyProtection="false" borderId="232" fillId="0" fontId="4" numFmtId="0" xfId="0">
      <alignment vertical="center"/>
    </xf>
    <xf applyAlignment="true" applyBorder="false" applyFill="false" applyFont="true" applyNumberFormat="false" applyProtection="false" borderId="234" fillId="0" fontId="4" numFmtId="0" xfId="0">
      <alignment vertical="center"/>
    </xf>
    <xf applyAlignment="true" applyBorder="false" applyFill="false" applyFont="true" applyNumberFormat="false" applyProtection="false" borderId="234"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35" fillId="0" fontId="2" numFmtId="0" xfId="0">
      <alignment vertical="center"/>
    </xf>
    <xf applyAlignment="true" applyBorder="false" applyFill="false" applyFont="true" applyNumberFormat="false" applyProtection="false" borderId="236" fillId="0" fontId="4" numFmtId="0" xfId="0">
      <alignment vertical="center"/>
    </xf>
    <xf applyAlignment="true" applyBorder="false" applyFill="false" applyFont="true" applyNumberFormat="false" applyProtection="false" borderId="237" fillId="0" fontId="4" numFmtId="0" xfId="0">
      <alignment vertical="center"/>
    </xf>
    <xf applyAlignment="true" applyBorder="false" applyFill="false" applyFont="true" applyNumberFormat="false" applyProtection="false" borderId="238" fillId="0" fontId="2" numFmtId="0" xfId="0">
      <alignment vertical="center"/>
    </xf>
    <xf applyAlignment="true" applyBorder="false" applyFill="false" applyFont="true" applyNumberFormat="false" applyProtection="false" borderId="239" fillId="0" fontId="4" numFmtId="0" xfId="0">
      <alignment vertical="center"/>
    </xf>
    <xf applyAlignment="true" applyBorder="false" applyFill="false" applyFont="true" applyNumberFormat="false" applyProtection="false" borderId="240" fillId="0" fontId="4" numFmtId="0" xfId="0">
      <alignment vertical="center"/>
    </xf>
    <xf applyAlignment="true" applyBorder="false" applyFill="false" applyFont="true" applyNumberFormat="false" applyProtection="false" borderId="240" fillId="0" fontId="2" numFmtId="0" xfId="0">
      <alignment vertical="center"/>
    </xf>
    <xf applyAlignment="true" applyBorder="false" applyFill="false" applyFont="true" applyNumberFormat="false" applyProtection="false" borderId="240" fillId="0" fontId="4" numFmtId="0" xfId="0">
      <alignment vertical="center"/>
    </xf>
    <xf applyAlignment="true" applyBorder="false" applyFill="false" applyFont="true" applyNumberFormat="false" applyProtection="false" borderId="241" fillId="0" fontId="4" numFmtId="0" xfId="0">
      <alignment vertical="center"/>
    </xf>
    <xf applyAlignment="true" applyBorder="false" applyFill="false" applyFont="true" applyNumberFormat="false" applyProtection="false" borderId="242" fillId="0" fontId="4" numFmtId="0" xfId="0">
      <alignment vertical="center"/>
    </xf>
    <xf applyAlignment="true" applyBorder="false" applyFill="false" applyFont="true" applyNumberFormat="false" applyProtection="false" borderId="243" fillId="0" fontId="1" numFmtId="0" xfId="0">
      <alignment horizontal="center" vertical="center" wrapText="true"/>
    </xf>
    <xf applyAlignment="true" applyBorder="false" applyFill="false" applyFont="true" applyNumberFormat="false" applyProtection="false" borderId="243" fillId="0" fontId="1" numFmtId="0" xfId="0">
      <alignment horizontal="center" vertical="center" wrapText="true"/>
    </xf>
    <xf applyAlignment="true" applyBorder="false" applyFill="false" applyFont="true" applyNumberFormat="true" applyProtection="false" borderId="243" fillId="0" fontId="1" numFmtId="186" xfId="0">
      <alignment horizontal="center" vertical="center" wrapText="true"/>
    </xf>
    <xf applyAlignment="true" applyBorder="false" applyFill="false" applyFont="true" applyNumberFormat="false" applyProtection="false" borderId="244"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45" fillId="0" fontId="6" numFmtId="0" xfId="0">
      <alignment horizontal="left" vertical="center" wrapText="true"/>
    </xf>
    <xf applyAlignment="true" applyBorder="false" applyFill="true" applyFont="true" applyNumberFormat="false" applyProtection="false" borderId="246" fillId="208" fontId="3" numFmtId="0" xfId="0">
      <alignment horizontal="center" vertical="center" wrapText="true"/>
    </xf>
    <xf applyAlignment="true" applyBorder="false" applyFill="false" applyFont="true" applyNumberFormat="false" applyProtection="false" borderId="246" fillId="0" fontId="3" numFmtId="0" xfId="0">
      <alignment horizontal="center" vertical="center"/>
    </xf>
    <xf applyAlignment="true" applyBorder="false" applyFill="true" applyFont="true" applyNumberFormat="false" applyProtection="false" borderId="246" fillId="209" fontId="3" numFmtId="0" xfId="0">
      <alignment horizontal="center" vertical="center" wrapText="true"/>
    </xf>
    <xf applyAlignment="true" applyBorder="false" applyFill="true" applyFont="true" applyNumberFormat="false" applyProtection="false" borderId="246" fillId="209" fontId="3" numFmtId="0" xfId="0">
      <alignment vertical="center" wrapText="true"/>
    </xf>
    <xf applyAlignment="true" applyBorder="false" applyFill="true" applyFont="true" applyNumberFormat="false" applyProtection="false" borderId="246" fillId="209" fontId="3" numFmtId="0" xfId="0">
      <alignment horizontal="center" vertical="center"/>
    </xf>
    <xf applyAlignment="true" applyBorder="false" applyFill="true" applyFont="true" applyNumberFormat="false" applyProtection="false" borderId="246" fillId="209" fontId="4" numFmtId="0" xfId="0">
      <alignment horizontal="center" vertical="center"/>
    </xf>
    <xf applyAlignment="true" applyBorder="false" applyFill="true" applyFont="true" applyNumberFormat="false" applyProtection="false" borderId="246" fillId="209"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46" fillId="210" fontId="3" numFmtId="0" xfId="0">
      <alignment horizontal="center" vertical="center" wrapText="true"/>
    </xf>
    <xf applyAlignment="true" applyBorder="false" applyFill="true" applyFont="true" applyNumberFormat="false" applyProtection="false" borderId="246" fillId="210" fontId="3" numFmtId="0" xfId="0">
      <alignment vertical="center" wrapText="true"/>
    </xf>
    <xf applyAlignment="true" applyBorder="false" applyFill="true" applyFont="true" applyNumberFormat="false" applyProtection="false" borderId="246" fillId="210" fontId="3" numFmtId="0" xfId="0">
      <alignment horizontal="center" vertical="center"/>
    </xf>
    <xf applyAlignment="true" applyBorder="false" applyFill="true" applyFont="true" applyNumberFormat="false" applyProtection="false" borderId="246" fillId="210" fontId="4" numFmtId="0" xfId="0">
      <alignment horizontal="center" vertical="center"/>
    </xf>
    <xf applyAlignment="true" applyBorder="false" applyFill="true" applyFont="true" applyNumberFormat="false" applyProtection="false" borderId="246" fillId="210" fontId="3" numFmtId="0" xfId="0">
      <alignment horizontal="center" vertical="center"/>
    </xf>
    <xf applyAlignment="true" applyBorder="false" applyFill="true" applyFont="true" applyNumberFormat="false" applyProtection="false" borderId="246" fillId="211" fontId="3" numFmtId="0" xfId="0">
      <alignment horizontal="center" vertical="center" wrapText="true"/>
    </xf>
    <xf applyAlignment="true" applyBorder="false" applyFill="true" applyFont="true" applyNumberFormat="false" applyProtection="false" borderId="246" fillId="211" fontId="3" numFmtId="0" xfId="0">
      <alignment vertical="center" wrapText="true"/>
    </xf>
    <xf applyAlignment="true" applyBorder="false" applyFill="true" applyFont="true" applyNumberFormat="false" applyProtection="false" borderId="246" fillId="211" fontId="3" numFmtId="0" xfId="0">
      <alignment horizontal="center" vertical="center"/>
    </xf>
    <xf applyAlignment="true" applyBorder="false" applyFill="true" applyFont="true" applyNumberFormat="false" applyProtection="false" borderId="246" fillId="211" fontId="4" numFmtId="0" xfId="0">
      <alignment horizontal="center" vertical="center"/>
    </xf>
    <xf applyAlignment="true" applyBorder="false" applyFill="true" applyFont="true" applyNumberFormat="false" applyProtection="false" borderId="246" fillId="211" fontId="3" numFmtId="0" xfId="0">
      <alignment horizontal="center" vertical="center"/>
    </xf>
    <xf applyAlignment="true" applyBorder="false" applyFill="true" applyFont="true" applyNumberFormat="false" applyProtection="false" borderId="246" fillId="208" fontId="3" numFmtId="0" xfId="0">
      <alignment vertical="center" wrapText="true"/>
    </xf>
    <xf applyAlignment="true" applyBorder="false" applyFill="true" applyFont="true" applyNumberFormat="false" applyProtection="false" borderId="246" fillId="208" fontId="3" numFmtId="0" xfId="0">
      <alignment horizontal="center" vertical="center"/>
    </xf>
    <xf applyAlignment="true" applyBorder="false" applyFill="true" applyFont="true" applyNumberFormat="false" applyProtection="false" borderId="246" fillId="208" fontId="4" numFmtId="0" xfId="0">
      <alignment horizontal="center" vertical="center"/>
    </xf>
    <xf applyAlignment="true" applyBorder="false" applyFill="true" applyFont="true" applyNumberFormat="false" applyProtection="false" borderId="246" fillId="208" fontId="3" numFmtId="0" xfId="0">
      <alignment horizontal="center" vertical="center"/>
    </xf>
    <xf applyAlignment="true" applyBorder="false" applyFill="true" applyFont="true" applyNumberFormat="false" applyProtection="false" borderId="246" fillId="208" fontId="4" numFmtId="0" xfId="0">
      <alignment horizontal="center" vertical="center"/>
    </xf>
    <xf applyAlignment="true" applyBorder="false" applyFill="true" applyFont="true" applyNumberFormat="false" applyProtection="false" borderId="246" fillId="212" fontId="3" numFmtId="0" xfId="0">
      <alignment horizontal="center" vertical="center" wrapText="true"/>
    </xf>
    <xf applyAlignment="true" applyBorder="false" applyFill="true" applyFont="true" applyNumberFormat="false" applyProtection="false" borderId="246" fillId="212" fontId="3" numFmtId="0" xfId="0">
      <alignment horizontal="center" vertical="center"/>
    </xf>
    <xf applyAlignment="true" applyBorder="false" applyFill="true" applyFont="true" applyNumberFormat="false" applyProtection="false" borderId="246" fillId="212"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46"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46" fillId="0" fontId="4" numFmtId="0" xfId="0">
      <alignment horizontal="center" vertical="center" wrapText="true"/>
    </xf>
    <xf applyAlignment="true" applyBorder="false" applyFill="false" applyFont="true" applyNumberFormat="false" applyProtection="false" borderId="246" fillId="0" fontId="3" numFmtId="0" xfId="0">
      <alignment horizontal="center" vertical="center"/>
    </xf>
    <xf applyAlignment="true" applyBorder="false" applyFill="false" applyFont="true" applyNumberFormat="false" applyProtection="false" borderId="246" fillId="0" fontId="4" numFmtId="0" xfId="0">
      <alignment horizontal="center" vertical="center"/>
    </xf>
    <xf applyAlignment="true" applyBorder="false" applyFill="false" applyFont="true" applyNumberFormat="false" applyProtection="false" borderId="246"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46" fillId="213" fontId="3" numFmtId="0" xfId="0">
      <alignment horizontal="center" vertical="center" wrapText="true"/>
    </xf>
    <xf applyAlignment="true" applyBorder="false" applyFill="true" applyFont="true" applyNumberFormat="false" applyProtection="false" borderId="246" fillId="213" fontId="3" numFmtId="0" xfId="0">
      <alignment vertical="center" wrapText="true"/>
    </xf>
    <xf applyAlignment="true" applyBorder="false" applyFill="true" applyFont="true" applyNumberFormat="false" applyProtection="false" borderId="246" fillId="213" fontId="3" numFmtId="0" xfId="0">
      <alignment horizontal="center" vertical="center"/>
    </xf>
    <xf applyAlignment="true" applyBorder="false" applyFill="true" applyFont="true" applyNumberFormat="false" applyProtection="false" borderId="246" fillId="213" fontId="4" numFmtId="0" xfId="0">
      <alignment horizontal="center" vertical="center"/>
    </xf>
    <xf applyAlignment="true" applyBorder="false" applyFill="true" applyFont="true" applyNumberFormat="false" applyProtection="false" borderId="246" fillId="213" fontId="3" numFmtId="0" xfId="0">
      <alignment horizontal="center" vertical="center"/>
    </xf>
    <xf applyAlignment="true" applyBorder="false" applyFill="true" applyFont="true" applyNumberFormat="false" applyProtection="false" borderId="246" fillId="214" fontId="3" numFmtId="0" xfId="0">
      <alignment horizontal="center" vertical="center" wrapText="true"/>
    </xf>
    <xf applyAlignment="true" applyBorder="false" applyFill="true" applyFont="true" applyNumberFormat="false" applyProtection="false" borderId="246" fillId="214" fontId="3" numFmtId="0" xfId="0">
      <alignment vertical="center" wrapText="true"/>
    </xf>
    <xf applyAlignment="true" applyBorder="false" applyFill="true" applyFont="true" applyNumberFormat="false" applyProtection="false" borderId="246" fillId="214" fontId="3" numFmtId="0" xfId="0">
      <alignment horizontal="center" vertical="center"/>
    </xf>
    <xf applyAlignment="true" applyBorder="false" applyFill="true" applyFont="true" applyNumberFormat="false" applyProtection="false" borderId="246" fillId="214" fontId="4" numFmtId="0" xfId="0">
      <alignment horizontal="center" vertical="center"/>
    </xf>
    <xf applyAlignment="true" applyBorder="false" applyFill="true" applyFont="true" applyNumberFormat="false" applyProtection="false" borderId="246" fillId="214" fontId="3" numFmtId="0" xfId="0">
      <alignment horizontal="center" vertical="center"/>
    </xf>
    <xf applyAlignment="true" applyBorder="false" applyFill="true" applyFont="true" applyNumberFormat="false" applyProtection="false" borderId="246" fillId="215" fontId="5" numFmtId="0" xfId="0">
      <alignment horizontal="center" vertical="center" wrapText="true"/>
    </xf>
    <xf applyAlignment="true" applyBorder="false" applyFill="true" applyFont="true" applyNumberFormat="false" applyProtection="false" borderId="246" fillId="215" fontId="3" numFmtId="0" xfId="0">
      <alignment vertical="center" wrapText="true"/>
    </xf>
    <xf applyAlignment="true" applyBorder="false" applyFill="true" applyFont="true" applyNumberFormat="false" applyProtection="false" borderId="246" fillId="215" fontId="3" numFmtId="0" xfId="0">
      <alignment horizontal="center" vertical="center"/>
    </xf>
    <xf applyAlignment="true" applyBorder="false" applyFill="true" applyFont="true" applyNumberFormat="false" applyProtection="false" borderId="246" fillId="215" fontId="4" numFmtId="0" xfId="0">
      <alignment horizontal="center" vertical="center"/>
    </xf>
    <xf applyAlignment="true" applyBorder="false" applyFill="true" applyFont="true" applyNumberFormat="false" applyProtection="false" borderId="246" fillId="215" fontId="3" numFmtId="0" xfId="0">
      <alignment horizontal="center" vertical="center"/>
    </xf>
    <xf applyAlignment="true" applyBorder="false" applyFill="true" applyFont="true" applyNumberFormat="false" applyProtection="false" borderId="247" fillId="208" fontId="3" numFmtId="0" xfId="0">
      <alignment horizontal="center" vertical="center" wrapText="true"/>
    </xf>
    <xf applyAlignment="true" applyBorder="false" applyFill="true" applyFont="true" applyNumberFormat="false" applyProtection="false" borderId="246" fillId="208" fontId="3" numFmtId="0" xfId="0">
      <alignment horizontal="left" vertical="center" wrapText="true"/>
    </xf>
    <xf applyAlignment="true" applyBorder="false" applyFill="false" applyFont="true" applyNumberFormat="false" applyProtection="false" borderId="248" fillId="0" fontId="3" numFmtId="0" xfId="0">
      <alignment horizontal="center" vertical="center" wrapText="true"/>
    </xf>
    <xf applyAlignment="true" applyBorder="false" applyFill="true" applyFont="true" applyNumberFormat="false" applyProtection="false" borderId="249" fillId="211" fontId="5" numFmtId="0" xfId="0">
      <alignment horizontal="center" vertical="center" wrapText="true"/>
    </xf>
    <xf applyAlignment="true" applyBorder="false" applyFill="true" applyFont="true" applyNumberFormat="false" applyProtection="false" borderId="250" fillId="211" fontId="3" numFmtId="0" xfId="0">
      <alignment horizontal="left" vertical="center" wrapText="true"/>
    </xf>
    <xf applyAlignment="true" applyBorder="false" applyFill="true" applyFont="true" applyNumberFormat="false" applyProtection="false" borderId="251" fillId="208" fontId="3" numFmtId="0" xfId="0">
      <alignment horizontal="center" vertical="center" wrapText="true"/>
    </xf>
    <xf applyAlignment="true" applyBorder="false" applyFill="true" applyFont="true" applyNumberFormat="false" applyProtection="false" borderId="246" fillId="216" fontId="3" numFmtId="0" xfId="0">
      <alignment horizontal="center" vertical="center" wrapText="true"/>
    </xf>
    <xf applyAlignment="true" applyBorder="false" applyFill="true" applyFont="true" applyNumberFormat="false" applyProtection="false" borderId="246" fillId="216" fontId="3" numFmtId="0" xfId="0">
      <alignment horizontal="center" vertical="center"/>
    </xf>
    <xf applyAlignment="true" applyBorder="false" applyFill="true" applyFont="true" applyNumberFormat="false" applyProtection="false" borderId="246" fillId="216" fontId="4" numFmtId="0" xfId="0">
      <alignment horizontal="center" vertical="center"/>
    </xf>
    <xf applyAlignment="true" applyBorder="false" applyFill="true" applyFont="true" applyNumberFormat="false" applyProtection="false" borderId="246" fillId="216" fontId="3" numFmtId="0" xfId="0">
      <alignment horizontal="center" vertical="center"/>
    </xf>
    <xf applyAlignment="true" applyBorder="false" applyFill="true" applyFont="true" applyNumberFormat="false" applyProtection="false" borderId="246" fillId="217" fontId="3" numFmtId="0" xfId="0">
      <alignment horizontal="center" vertical="center" wrapText="true"/>
    </xf>
    <xf applyAlignment="true" applyBorder="false" applyFill="true" applyFont="true" applyNumberFormat="false" applyProtection="false" borderId="246" fillId="217" fontId="3" numFmtId="0" xfId="0">
      <alignment horizontal="left" vertical="center" wrapText="true"/>
    </xf>
    <xf applyAlignment="true" applyBorder="false" applyFill="true" applyFont="true" applyNumberFormat="false" applyProtection="false" borderId="246" fillId="217" fontId="3" numFmtId="0" xfId="0">
      <alignment horizontal="center" vertical="center"/>
    </xf>
    <xf applyAlignment="true" applyBorder="false" applyFill="true" applyFont="true" applyNumberFormat="false" applyProtection="false" borderId="246" fillId="217" fontId="4" numFmtId="0" xfId="0">
      <alignment horizontal="center" vertical="center"/>
    </xf>
    <xf applyAlignment="true" applyBorder="false" applyFill="true" applyFont="true" applyNumberFormat="false" applyProtection="false" borderId="252" fillId="217" fontId="5"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252" fillId="208" fontId="5" numFmtId="0" xfId="0">
      <alignment horizontal="center" vertical="center"/>
    </xf>
    <xf applyAlignment="true" applyBorder="false" applyFill="true" applyFont="true" applyNumberFormat="false" applyProtection="false" borderId="246" fillId="214" fontId="3" numFmtId="0" xfId="0">
      <alignment horizontal="left" vertical="center" wrapText="true"/>
    </xf>
    <xf applyAlignment="true" applyBorder="false" applyFill="true" applyFont="true" applyNumberFormat="false" applyProtection="false" borderId="252" fillId="214" fontId="5" numFmtId="0" xfId="0">
      <alignment horizontal="center" vertical="center"/>
    </xf>
    <xf applyAlignment="true" applyBorder="false" applyFill="true" applyFont="true" applyNumberFormat="false" applyProtection="false" borderId="246" fillId="218" fontId="3" numFmtId="0" xfId="0">
      <alignment horizontal="center" vertical="center" wrapText="true"/>
    </xf>
    <xf applyAlignment="true" applyBorder="false" applyFill="true" applyFont="true" applyNumberFormat="false" applyProtection="false" borderId="246" fillId="218" fontId="3" numFmtId="0" xfId="0">
      <alignment horizontal="left" vertical="center" wrapText="true"/>
    </xf>
    <xf applyAlignment="true" applyBorder="false" applyFill="true" applyFont="true" applyNumberFormat="false" applyProtection="false" borderId="246" fillId="218" fontId="3" numFmtId="0" xfId="0">
      <alignment horizontal="center" vertical="center"/>
    </xf>
    <xf applyAlignment="true" applyBorder="false" applyFill="true" applyFont="true" applyNumberFormat="false" applyProtection="false" borderId="246" fillId="218" fontId="4" numFmtId="0" xfId="0">
      <alignment horizontal="center" vertical="center"/>
    </xf>
    <xf applyAlignment="true" applyBorder="false" applyFill="true" applyFont="true" applyNumberFormat="false" applyProtection="false" borderId="252" fillId="218" fontId="5" numFmtId="0" xfId="0">
      <alignment horizontal="center" vertical="center"/>
    </xf>
    <xf applyAlignment="true" applyBorder="false" applyFill="true" applyFont="true" applyNumberFormat="false" applyProtection="false" borderId="246" fillId="216" fontId="3" numFmtId="0" xfId="0">
      <alignment horizontal="left" vertical="center" wrapText="true"/>
    </xf>
    <xf applyAlignment="true" applyBorder="false" applyFill="true" applyFont="true" applyNumberFormat="false" applyProtection="false" borderId="252" fillId="216" fontId="5" numFmtId="0" xfId="0">
      <alignment horizontal="center" vertical="center"/>
    </xf>
    <xf applyAlignment="true" applyBorder="false" applyFill="true" applyFont="true" applyNumberFormat="false" applyProtection="false" borderId="246" fillId="213" fontId="3" numFmtId="0" xfId="0">
      <alignment horizontal="left" vertical="center" wrapText="true"/>
    </xf>
    <xf applyAlignment="true" applyBorder="false" applyFill="true" applyFont="true" applyNumberFormat="false" applyProtection="false" borderId="252" fillId="213" fontId="5" numFmtId="0" xfId="0">
      <alignment horizontal="center" vertical="center"/>
    </xf>
    <xf applyAlignment="true" applyBorder="false" applyFill="true" applyFont="true" applyNumberFormat="false" applyProtection="false" borderId="246" fillId="209" fontId="3" numFmtId="0" xfId="0">
      <alignment horizontal="left" vertical="center" wrapText="true"/>
    </xf>
    <xf applyAlignment="true" applyBorder="false" applyFill="true" applyFont="true" applyNumberFormat="false" applyProtection="false" borderId="252" fillId="209"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46" fillId="210" fontId="3" numFmtId="0" xfId="0">
      <alignment horizontal="left" vertical="center" wrapText="true"/>
    </xf>
    <xf applyAlignment="true" applyBorder="false" applyFill="true" applyFont="true" applyNumberFormat="false" applyProtection="false" borderId="252" fillId="210" fontId="5" numFmtId="0" xfId="0">
      <alignment horizontal="center" vertical="center"/>
    </xf>
    <xf applyAlignment="true" applyBorder="false" applyFill="true" applyFont="true" applyNumberFormat="false" applyProtection="false" borderId="252" fillId="211" fontId="5" numFmtId="0" xfId="0">
      <alignment horizontal="center" vertical="center"/>
    </xf>
    <xf applyAlignment="true" applyBorder="false" applyFill="true" applyFont="true" applyNumberFormat="false" applyProtection="false" borderId="252" fillId="211" fontId="2" numFmtId="0" xfId="0">
      <alignment horizontal="center" vertical="center"/>
    </xf>
    <xf applyAlignment="true" applyBorder="false" applyFill="true" applyFont="true" applyNumberFormat="false" applyProtection="false" borderId="252" fillId="208" fontId="5" numFmtId="0" xfId="0">
      <alignment horizontal="center" vertical="center"/>
    </xf>
    <xf applyAlignment="true" applyBorder="false" applyFill="true" applyFont="true" applyNumberFormat="false" applyProtection="false" borderId="252" fillId="208" fontId="2" numFmtId="0" xfId="0">
      <alignment horizontal="center" vertical="center"/>
    </xf>
    <xf applyAlignment="true" applyBorder="false" applyFill="true" applyFont="true" applyNumberFormat="false" applyProtection="false" borderId="252" fillId="214" fontId="5" numFmtId="0" xfId="0">
      <alignment horizontal="center" vertical="center" wrapText="true"/>
    </xf>
    <xf applyAlignment="true" applyBorder="false" applyFill="true" applyFont="true" applyNumberFormat="false" applyProtection="false" borderId="252" fillId="214" fontId="5" numFmtId="0" xfId="0">
      <alignment horizontal="left" vertical="center" wrapText="true"/>
    </xf>
    <xf applyAlignment="true" applyBorder="false" applyFill="true" applyFont="true" applyNumberFormat="false" applyProtection="false" borderId="252" fillId="214" fontId="5" numFmtId="0" xfId="0">
      <alignment horizontal="center" vertical="center"/>
    </xf>
    <xf applyAlignment="true" applyBorder="false" applyFill="true" applyFont="true" applyNumberFormat="false" applyProtection="false" borderId="252" fillId="214" fontId="2" numFmtId="0" xfId="0">
      <alignment horizontal="center" vertical="center"/>
    </xf>
    <xf applyAlignment="true" applyBorder="false" applyFill="true" applyFont="true" applyNumberFormat="false" applyProtection="false" borderId="252" fillId="218" fontId="5" numFmtId="0" xfId="0">
      <alignment horizontal="center" vertical="center" wrapText="true"/>
    </xf>
    <xf applyAlignment="true" applyBorder="false" applyFill="true" applyFont="true" applyNumberFormat="false" applyProtection="false" borderId="252" fillId="218" fontId="5" numFmtId="0" xfId="0">
      <alignment horizontal="left" vertical="center" wrapText="true"/>
    </xf>
    <xf applyAlignment="true" applyBorder="false" applyFill="true" applyFont="true" applyNumberFormat="false" applyProtection="false" borderId="252" fillId="218" fontId="5" numFmtId="0" xfId="0">
      <alignment horizontal="center" vertical="center"/>
    </xf>
    <xf applyAlignment="true" applyBorder="false" applyFill="true" applyFont="true" applyNumberFormat="false" applyProtection="false" borderId="252" fillId="218" fontId="2" numFmtId="0" xfId="0">
      <alignment horizontal="center" vertical="center"/>
    </xf>
    <xf applyAlignment="true" applyBorder="false" applyFill="true" applyFont="true" applyNumberFormat="false" applyProtection="false" borderId="252" fillId="216" fontId="5" numFmtId="0" xfId="0">
      <alignment horizontal="center" vertical="center" wrapText="true"/>
    </xf>
    <xf applyAlignment="true" applyBorder="false" applyFill="true" applyFont="true" applyNumberFormat="false" applyProtection="false" borderId="252" fillId="216" fontId="5" numFmtId="0" xfId="0">
      <alignment horizontal="left" vertical="center" wrapText="true"/>
    </xf>
    <xf applyAlignment="true" applyBorder="false" applyFill="true" applyFont="true" applyNumberFormat="false" applyProtection="false" borderId="252" fillId="216" fontId="5" numFmtId="0" xfId="0">
      <alignment horizontal="center" vertical="center"/>
    </xf>
    <xf applyAlignment="true" applyBorder="false" applyFill="true" applyFont="true" applyNumberFormat="false" applyProtection="false" borderId="252" fillId="216" fontId="2" numFmtId="0" xfId="0">
      <alignment horizontal="center" vertical="center"/>
    </xf>
    <xf applyAlignment="true" applyBorder="false" applyFill="true" applyFont="true" applyNumberFormat="false" applyProtection="false" borderId="252" fillId="213" fontId="5" numFmtId="0" xfId="0">
      <alignment horizontal="center" vertical="center" wrapText="true"/>
    </xf>
    <xf applyAlignment="true" applyBorder="false" applyFill="true" applyFont="true" applyNumberFormat="false" applyProtection="false" borderId="252" fillId="213" fontId="5" numFmtId="0" xfId="0">
      <alignment horizontal="left" vertical="center" wrapText="true"/>
    </xf>
    <xf applyAlignment="true" applyBorder="false" applyFill="true" applyFont="true" applyNumberFormat="false" applyProtection="false" borderId="252" fillId="213" fontId="5" numFmtId="0" xfId="0">
      <alignment horizontal="center" vertical="center"/>
    </xf>
    <xf applyAlignment="true" applyBorder="false" applyFill="true" applyFont="true" applyNumberFormat="false" applyProtection="false" borderId="252" fillId="213" fontId="2" numFmtId="0" xfId="0">
      <alignment horizontal="center" vertical="center"/>
    </xf>
    <xf applyAlignment="true" applyBorder="false" applyFill="true" applyFont="true" applyNumberFormat="false" applyProtection="false" borderId="252" fillId="210" fontId="5" numFmtId="0" xfId="0">
      <alignment horizontal="center" vertical="center" wrapText="true"/>
    </xf>
    <xf applyAlignment="true" applyBorder="false" applyFill="true" applyFont="true" applyNumberFormat="false" applyProtection="false" borderId="252" fillId="210" fontId="5" numFmtId="0" xfId="0">
      <alignment horizontal="left" vertical="center" wrapText="true"/>
    </xf>
    <xf applyAlignment="true" applyBorder="false" applyFill="true" applyFont="true" applyNumberFormat="false" applyProtection="false" borderId="252" fillId="210" fontId="5" numFmtId="0" xfId="0">
      <alignment horizontal="center" vertical="center"/>
    </xf>
    <xf applyAlignment="true" applyBorder="false" applyFill="true" applyFont="true" applyNumberFormat="false" applyProtection="false" borderId="252" fillId="210" fontId="2" numFmtId="0" xfId="0">
      <alignment horizontal="center" vertical="center"/>
    </xf>
    <xf applyAlignment="true" applyBorder="false" applyFill="true" applyFont="true" applyNumberFormat="false" applyProtection="false" borderId="252" fillId="211" fontId="5" numFmtId="0" xfId="0">
      <alignment horizontal="center" vertical="center" wrapText="true"/>
    </xf>
    <xf applyAlignment="true" applyBorder="false" applyFill="true" applyFont="true" applyNumberFormat="false" applyProtection="false" borderId="252" fillId="211" fontId="5" numFmtId="0" xfId="0">
      <alignment horizontal="left" vertical="center" wrapText="true"/>
    </xf>
    <xf applyAlignment="true" applyBorder="false" applyFill="true" applyFont="true" applyNumberFormat="false" applyProtection="false" borderId="252" fillId="211" fontId="5" numFmtId="0" xfId="0">
      <alignment horizontal="center" vertical="center"/>
    </xf>
    <xf applyAlignment="true" applyBorder="false" applyFill="false" applyFont="true" applyNumberFormat="false" applyProtection="false" borderId="252" fillId="0" fontId="2" numFmtId="0" xfId="0">
      <alignment horizontal="center" vertical="center" wrapText="true"/>
    </xf>
    <xf applyAlignment="true" applyBorder="false" applyFill="false" applyFont="true" applyNumberFormat="false" applyProtection="false" borderId="252" fillId="0" fontId="5" numFmtId="0" xfId="0">
      <alignment horizontal="center" vertical="center"/>
    </xf>
    <xf applyAlignment="true" applyBorder="false" applyFill="false" applyFont="true" applyNumberFormat="false" applyProtection="false" borderId="252" fillId="0" fontId="2" numFmtId="0" xfId="0">
      <alignment horizontal="center" vertical="center"/>
    </xf>
    <xf applyAlignment="true" applyBorder="false" applyFill="false" applyFont="true" applyNumberFormat="false" applyProtection="false" borderId="252" fillId="0" fontId="2" numFmtId="0" xfId="0">
      <alignment vertical="center"/>
    </xf>
    <xf applyAlignment="true" applyBorder="false" applyFill="true" applyFont="true" applyNumberFormat="false" applyProtection="false" borderId="246" fillId="210" fontId="5" numFmtId="0" xfId="0">
      <alignment horizontal="center" vertical="center"/>
    </xf>
    <xf applyAlignment="true" applyBorder="false" applyFill="true" applyFont="true" applyNumberFormat="false" applyProtection="false" borderId="246" fillId="211" fontId="5" numFmtId="0" xfId="0">
      <alignment horizontal="center" vertical="center" wrapText="true"/>
    </xf>
    <xf applyAlignment="true" applyBorder="false" applyFill="true" applyFont="true" applyNumberFormat="false" applyProtection="false" borderId="252" fillId="208" fontId="5" numFmtId="0" xfId="0">
      <alignment horizontal="center" vertical="center" wrapText="true"/>
    </xf>
    <xf applyAlignment="true" applyBorder="false" applyFill="true" applyFont="true" applyNumberFormat="false" applyProtection="false" borderId="252" fillId="208" fontId="5" numFmtId="0" xfId="0">
      <alignment horizontal="left" vertical="center" wrapText="true"/>
    </xf>
    <xf applyAlignment="true" applyBorder="false" applyFill="true" applyFont="true" applyNumberFormat="false" applyProtection="false" borderId="246" fillId="212" fontId="4" numFmtId="0" xfId="0">
      <alignment vertical="center"/>
    </xf>
    <xf applyAlignment="true" applyBorder="false" applyFill="true" applyFont="true" applyNumberFormat="false" applyProtection="false" borderId="252" fillId="217" fontId="2" numFmtId="0" xfId="0">
      <alignment horizontal="center" vertical="center"/>
    </xf>
    <xf applyAlignment="true" applyBorder="false" applyFill="true" applyFont="true" applyNumberFormat="false" applyProtection="false" borderId="246" fillId="212" fontId="4" numFmtId="0" xfId="0">
      <alignment vertical="center"/>
    </xf>
    <xf applyAlignment="true" applyBorder="false" applyFill="false" applyFont="true" applyNumberFormat="false" applyProtection="false" borderId="246" fillId="0" fontId="4" numFmtId="0" xfId="0">
      <alignment vertical="center"/>
    </xf>
    <xf applyAlignment="true" applyBorder="false" applyFill="false" applyFont="true" applyNumberFormat="false" applyProtection="false" borderId="251" fillId="0" fontId="4" numFmtId="0" xfId="0">
      <alignment vertical="center"/>
    </xf>
    <xf applyAlignment="true" applyBorder="false" applyFill="false" applyFont="true" applyNumberFormat="false" applyProtection="false" borderId="251" fillId="0" fontId="4" numFmtId="0" xfId="0">
      <alignment vertical="center"/>
    </xf>
    <xf applyAlignment="true" applyBorder="false" applyFill="false" applyFont="true" applyNumberFormat="false" applyProtection="false" borderId="247" fillId="0" fontId="2" numFmtId="0" xfId="0">
      <alignment vertical="center"/>
    </xf>
    <xf applyAlignment="true" applyBorder="false" applyFill="false" applyFont="true" applyNumberFormat="false" applyProtection="false" borderId="250" fillId="0" fontId="4" numFmtId="0" xfId="0">
      <alignment vertical="center"/>
    </xf>
    <xf applyAlignment="true" applyBorder="false" applyFill="false" applyFont="true" applyNumberFormat="false" applyProtection="false" borderId="253" fillId="0" fontId="4" numFmtId="0" xfId="0">
      <alignment vertical="center"/>
    </xf>
    <xf applyAlignment="true" applyBorder="false" applyFill="false" applyFont="true" applyNumberFormat="false" applyProtection="false" borderId="254" fillId="0" fontId="2" numFmtId="0" xfId="0">
      <alignment vertical="center"/>
    </xf>
    <xf applyAlignment="true" applyBorder="false" applyFill="false" applyFont="true" applyNumberFormat="false" applyProtection="false" borderId="255" fillId="0" fontId="4" numFmtId="0" xfId="0">
      <alignment vertical="center"/>
    </xf>
    <xf applyAlignment="true" applyBorder="false" applyFill="false" applyFont="true" applyNumberFormat="false" applyProtection="false" borderId="249" fillId="0" fontId="4" numFmtId="0" xfId="0">
      <alignment vertical="center"/>
    </xf>
    <xf applyAlignment="true" applyBorder="false" applyFill="false" applyFont="true" applyNumberFormat="false" applyProtection="false" borderId="249" fillId="0" fontId="2" numFmtId="0" xfId="0">
      <alignment vertical="center"/>
    </xf>
    <xf applyAlignment="true" applyBorder="false" applyFill="false" applyFont="true" applyNumberFormat="false" applyProtection="false" borderId="249" fillId="0" fontId="4" numFmtId="0" xfId="0">
      <alignment vertical="center"/>
    </xf>
    <xf applyAlignment="true" applyBorder="false" applyFill="false" applyFont="true" applyNumberFormat="false" applyProtection="false" borderId="256" fillId="0" fontId="4" numFmtId="0" xfId="0">
      <alignment vertical="center"/>
    </xf>
    <xf applyAlignment="true" applyBorder="false" applyFill="false" applyFont="true" applyNumberFormat="false" applyProtection="false" borderId="257" fillId="0" fontId="4" numFmtId="0" xfId="0">
      <alignment vertical="center"/>
    </xf>
    <xf applyAlignment="true" applyBorder="false" applyFill="false" applyFont="true" applyNumberFormat="false" applyProtection="false" borderId="258" fillId="0" fontId="1" numFmtId="0" xfId="0">
      <alignment horizontal="center" vertical="center" wrapText="true"/>
    </xf>
    <xf applyAlignment="true" applyBorder="false" applyFill="false" applyFont="true" applyNumberFormat="false" applyProtection="false" borderId="258" fillId="0" fontId="1" numFmtId="0" xfId="0">
      <alignment horizontal="center" vertical="center" wrapText="true"/>
    </xf>
    <xf applyAlignment="true" applyBorder="false" applyFill="false" applyFont="true" applyNumberFormat="true" applyProtection="false" borderId="258" fillId="0" fontId="1" numFmtId="187" xfId="0">
      <alignment horizontal="center" vertical="center" wrapText="true"/>
    </xf>
    <xf applyAlignment="true" applyBorder="false" applyFill="false" applyFont="true" applyNumberFormat="false" applyProtection="false" borderId="259"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60" fillId="0" fontId="6" numFmtId="0" xfId="0">
      <alignment horizontal="left" vertical="center" wrapText="true"/>
    </xf>
    <xf applyAlignment="true" applyBorder="false" applyFill="true" applyFont="true" applyNumberFormat="false" applyProtection="false" borderId="261" fillId="219" fontId="3" numFmtId="0" xfId="0">
      <alignment horizontal="center" vertical="center" wrapText="true"/>
    </xf>
    <xf applyAlignment="true" applyBorder="false" applyFill="false" applyFont="true" applyNumberFormat="false" applyProtection="false" borderId="261" fillId="0" fontId="3" numFmtId="0" xfId="0">
      <alignment horizontal="center" vertical="center"/>
    </xf>
    <xf applyAlignment="true" applyBorder="false" applyFill="true" applyFont="true" applyNumberFormat="false" applyProtection="false" borderId="261" fillId="220" fontId="3" numFmtId="0" xfId="0">
      <alignment horizontal="center" vertical="center" wrapText="true"/>
    </xf>
    <xf applyAlignment="true" applyBorder="false" applyFill="true" applyFont="true" applyNumberFormat="false" applyProtection="false" borderId="261" fillId="220" fontId="3" numFmtId="0" xfId="0">
      <alignment vertical="center" wrapText="true"/>
    </xf>
    <xf applyAlignment="true" applyBorder="false" applyFill="true" applyFont="true" applyNumberFormat="false" applyProtection="false" borderId="261" fillId="220" fontId="3" numFmtId="0" xfId="0">
      <alignment horizontal="center" vertical="center"/>
    </xf>
    <xf applyAlignment="true" applyBorder="false" applyFill="true" applyFont="true" applyNumberFormat="false" applyProtection="false" borderId="261" fillId="220" fontId="4" numFmtId="0" xfId="0">
      <alignment horizontal="center" vertical="center"/>
    </xf>
    <xf applyAlignment="true" applyBorder="false" applyFill="true" applyFont="true" applyNumberFormat="false" applyProtection="false" borderId="261" fillId="220"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61" fillId="221" fontId="3" numFmtId="0" xfId="0">
      <alignment horizontal="center" vertical="center" wrapText="true"/>
    </xf>
    <xf applyAlignment="true" applyBorder="false" applyFill="true" applyFont="true" applyNumberFormat="false" applyProtection="false" borderId="261" fillId="221" fontId="3" numFmtId="0" xfId="0">
      <alignment vertical="center" wrapText="true"/>
    </xf>
    <xf applyAlignment="true" applyBorder="false" applyFill="true" applyFont="true" applyNumberFormat="false" applyProtection="false" borderId="261" fillId="221" fontId="3" numFmtId="0" xfId="0">
      <alignment horizontal="center" vertical="center"/>
    </xf>
    <xf applyAlignment="true" applyBorder="false" applyFill="true" applyFont="true" applyNumberFormat="false" applyProtection="false" borderId="261" fillId="221" fontId="4" numFmtId="0" xfId="0">
      <alignment horizontal="center" vertical="center"/>
    </xf>
    <xf applyAlignment="true" applyBorder="false" applyFill="true" applyFont="true" applyNumberFormat="false" applyProtection="false" borderId="261" fillId="221" fontId="3" numFmtId="0" xfId="0">
      <alignment horizontal="center" vertical="center"/>
    </xf>
    <xf applyAlignment="true" applyBorder="false" applyFill="true" applyFont="true" applyNumberFormat="false" applyProtection="false" borderId="261" fillId="222" fontId="3" numFmtId="0" xfId="0">
      <alignment horizontal="center" vertical="center" wrapText="true"/>
    </xf>
    <xf applyAlignment="true" applyBorder="false" applyFill="true" applyFont="true" applyNumberFormat="false" applyProtection="false" borderId="261" fillId="222" fontId="3" numFmtId="0" xfId="0">
      <alignment vertical="center" wrapText="true"/>
    </xf>
    <xf applyAlignment="true" applyBorder="false" applyFill="true" applyFont="true" applyNumberFormat="false" applyProtection="false" borderId="261" fillId="222" fontId="3" numFmtId="0" xfId="0">
      <alignment horizontal="center" vertical="center"/>
    </xf>
    <xf applyAlignment="true" applyBorder="false" applyFill="true" applyFont="true" applyNumberFormat="false" applyProtection="false" borderId="261" fillId="222" fontId="4" numFmtId="0" xfId="0">
      <alignment horizontal="center" vertical="center"/>
    </xf>
    <xf applyAlignment="true" applyBorder="false" applyFill="true" applyFont="true" applyNumberFormat="false" applyProtection="false" borderId="261" fillId="222" fontId="3" numFmtId="0" xfId="0">
      <alignment horizontal="center" vertical="center"/>
    </xf>
    <xf applyAlignment="true" applyBorder="false" applyFill="true" applyFont="true" applyNumberFormat="false" applyProtection="false" borderId="261" fillId="219" fontId="3" numFmtId="0" xfId="0">
      <alignment vertical="center" wrapText="true"/>
    </xf>
    <xf applyAlignment="true" applyBorder="false" applyFill="true" applyFont="true" applyNumberFormat="false" applyProtection="false" borderId="261" fillId="219" fontId="3" numFmtId="0" xfId="0">
      <alignment horizontal="center" vertical="center"/>
    </xf>
    <xf applyAlignment="true" applyBorder="false" applyFill="true" applyFont="true" applyNumberFormat="false" applyProtection="false" borderId="261" fillId="219" fontId="4" numFmtId="0" xfId="0">
      <alignment horizontal="center" vertical="center"/>
    </xf>
    <xf applyAlignment="true" applyBorder="false" applyFill="true" applyFont="true" applyNumberFormat="false" applyProtection="false" borderId="261" fillId="219" fontId="3" numFmtId="0" xfId="0">
      <alignment horizontal="center" vertical="center"/>
    </xf>
    <xf applyAlignment="true" applyBorder="false" applyFill="true" applyFont="true" applyNumberFormat="false" applyProtection="false" borderId="261" fillId="219" fontId="4" numFmtId="0" xfId="0">
      <alignment horizontal="center" vertical="center"/>
    </xf>
    <xf applyAlignment="true" applyBorder="false" applyFill="true" applyFont="true" applyNumberFormat="false" applyProtection="false" borderId="261" fillId="223" fontId="3" numFmtId="0" xfId="0">
      <alignment horizontal="center" vertical="center" wrapText="true"/>
    </xf>
    <xf applyAlignment="true" applyBorder="false" applyFill="true" applyFont="true" applyNumberFormat="false" applyProtection="false" borderId="261" fillId="223" fontId="3" numFmtId="0" xfId="0">
      <alignment horizontal="center" vertical="center"/>
    </xf>
    <xf applyAlignment="true" applyBorder="false" applyFill="true" applyFont="true" applyNumberFormat="false" applyProtection="false" borderId="261" fillId="223"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61"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261" fillId="224" fontId="3" numFmtId="0" xfId="0">
      <alignment horizontal="center" vertical="center" wrapText="true"/>
    </xf>
    <xf applyAlignment="true" applyBorder="false" applyFill="true" applyFont="true" applyNumberFormat="false" applyProtection="false" borderId="261" fillId="224" fontId="3" numFmtId="0" xfId="0">
      <alignment horizontal="center" vertical="center"/>
    </xf>
    <xf applyAlignment="true" applyBorder="false" applyFill="true" applyFont="true" applyNumberFormat="false" applyProtection="false" borderId="261" fillId="224" fontId="4" numFmtId="0" xfId="0">
      <alignment horizontal="center" vertical="center"/>
    </xf>
    <xf applyAlignment="true" applyBorder="false" applyFill="true" applyFont="true" applyNumberFormat="false" applyProtection="false" borderId="261" fillId="224" fontId="4" numFmtId="0" xfId="0">
      <alignment vertical="center"/>
    </xf>
    <xf applyAlignment="true" applyBorder="false" applyFill="true" applyFont="true" applyNumberFormat="false" applyProtection="false" borderId="261" fillId="224"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61" fillId="0" fontId="4" numFmtId="0" xfId="0">
      <alignment horizontal="center" vertical="center" wrapText="true"/>
    </xf>
    <xf applyAlignment="true" applyBorder="false" applyFill="false" applyFont="true" applyNumberFormat="false" applyProtection="false" borderId="261" fillId="0" fontId="3" numFmtId="0" xfId="0">
      <alignment horizontal="center" vertical="center"/>
    </xf>
    <xf applyAlignment="true" applyBorder="false" applyFill="false" applyFont="true" applyNumberFormat="false" applyProtection="false" borderId="261" fillId="0" fontId="4" numFmtId="0" xfId="0">
      <alignment horizontal="center" vertical="center"/>
    </xf>
    <xf applyAlignment="true" applyBorder="false" applyFill="false" applyFont="true" applyNumberFormat="false" applyProtection="false" borderId="261" fillId="0" fontId="4" numFmtId="0" xfId="0">
      <alignment vertical="center"/>
    </xf>
    <xf applyAlignment="true" applyBorder="false" applyFill="true" applyFont="true" applyNumberFormat="false" applyProtection="false" borderId="261" fillId="225" fontId="3" numFmtId="0" xfId="0">
      <alignment horizontal="center" vertical="center" wrapText="true"/>
    </xf>
    <xf applyAlignment="true" applyBorder="false" applyFill="true" applyFont="true" applyNumberFormat="false" applyProtection="false" borderId="261" fillId="225" fontId="3" numFmtId="0" xfId="0">
      <alignment vertical="center" wrapText="true"/>
    </xf>
    <xf applyAlignment="true" applyBorder="false" applyFill="true" applyFont="true" applyNumberFormat="false" applyProtection="false" borderId="261" fillId="225" fontId="3" numFmtId="0" xfId="0">
      <alignment horizontal="center" vertical="center"/>
    </xf>
    <xf applyAlignment="true" applyBorder="false" applyFill="true" applyFont="true" applyNumberFormat="false" applyProtection="false" borderId="261" fillId="225" fontId="4" numFmtId="0" xfId="0">
      <alignment horizontal="center" vertical="center"/>
    </xf>
    <xf applyAlignment="true" applyBorder="false" applyFill="true" applyFont="true" applyNumberFormat="false" applyProtection="false" borderId="261" fillId="225" fontId="3" numFmtId="0" xfId="0">
      <alignment horizontal="center" vertical="center"/>
    </xf>
    <xf applyAlignment="true" applyBorder="false" applyFill="true" applyFont="true" applyNumberFormat="false" applyProtection="false" borderId="261" fillId="224" fontId="3" numFmtId="0" xfId="0">
      <alignment vertical="center" wrapText="true"/>
    </xf>
    <xf applyAlignment="true" applyBorder="false" applyFill="true" applyFont="true" applyNumberFormat="false" applyProtection="false" borderId="262" fillId="226" fontId="5" numFmtId="0" xfId="0">
      <alignment horizontal="center" vertical="center" wrapText="true"/>
    </xf>
    <xf applyAlignment="true" applyBorder="false" applyFill="true" applyFont="true" applyNumberFormat="false" applyProtection="false" borderId="261" fillId="226" fontId="3" numFmtId="0" xfId="0">
      <alignment vertical="center" wrapText="true"/>
    </xf>
    <xf applyAlignment="true" applyBorder="false" applyFill="true" applyFont="true" applyNumberFormat="false" applyProtection="false" borderId="261" fillId="226" fontId="3" numFmtId="0" xfId="0">
      <alignment horizontal="center" vertical="center"/>
    </xf>
    <xf applyAlignment="true" applyBorder="false" applyFill="true" applyFont="true" applyNumberFormat="false" applyProtection="false" borderId="261" fillId="226" fontId="4" numFmtId="0" xfId="0">
      <alignment horizontal="center" vertical="center"/>
    </xf>
    <xf applyAlignment="true" applyBorder="false" applyFill="true" applyFont="true" applyNumberFormat="false" applyProtection="false" borderId="261" fillId="226" fontId="3" numFmtId="0" xfId="0">
      <alignment horizontal="center" vertical="center"/>
    </xf>
    <xf applyAlignment="true" applyBorder="false" applyFill="false" applyFont="true" applyNumberFormat="false" applyProtection="false" borderId="263" fillId="0" fontId="3" numFmtId="0" xfId="0">
      <alignment horizontal="center" vertical="center" wrapText="true"/>
    </xf>
    <xf applyAlignment="true" applyBorder="false" applyFill="true" applyFont="true" applyNumberFormat="false" applyProtection="false" borderId="264" fillId="219" fontId="3" numFmtId="0" xfId="0">
      <alignment horizontal="center" vertical="center" wrapText="true"/>
    </xf>
    <xf applyAlignment="true" applyBorder="false" applyFill="true" applyFont="true" applyNumberFormat="false" applyProtection="false" borderId="265" fillId="219" fontId="3" numFmtId="0" xfId="0">
      <alignment horizontal="left" vertical="center" wrapText="true"/>
    </xf>
    <xf applyAlignment="true" applyBorder="false" applyFill="true" applyFont="true" applyNumberFormat="false" applyProtection="false" borderId="266" fillId="222" fontId="5" numFmtId="0" xfId="0">
      <alignment horizontal="center" vertical="center" wrapText="true"/>
    </xf>
    <xf applyAlignment="true" applyBorder="false" applyFill="true" applyFont="true" applyNumberFormat="false" applyProtection="false" borderId="265" fillId="222" fontId="3" numFmtId="0" xfId="0">
      <alignment horizontal="left" vertical="center" wrapText="true"/>
    </xf>
    <xf applyAlignment="true" applyBorder="false" applyFill="true" applyFont="true" applyNumberFormat="false" applyProtection="false" borderId="261" fillId="227" fontId="3" numFmtId="0" xfId="0">
      <alignment horizontal="center" vertical="center" wrapText="true"/>
    </xf>
    <xf applyAlignment="true" applyBorder="false" applyFill="true" applyFont="true" applyNumberFormat="false" applyProtection="false" borderId="261" fillId="227" fontId="3" numFmtId="0" xfId="0">
      <alignment horizontal="center" vertical="center"/>
    </xf>
    <xf applyAlignment="true" applyBorder="false" applyFill="true" applyFont="true" applyNumberFormat="false" applyProtection="false" borderId="261" fillId="227" fontId="4" numFmtId="0" xfId="0">
      <alignment horizontal="center" vertical="center"/>
    </xf>
    <xf applyAlignment="true" applyBorder="false" applyFill="true" applyFont="true" applyNumberFormat="false" applyProtection="false" borderId="261" fillId="227" fontId="3" numFmtId="0" xfId="0">
      <alignment horizontal="center" vertical="center"/>
    </xf>
    <xf applyAlignment="true" applyBorder="false" applyFill="true" applyFont="true" applyNumberFormat="false" applyProtection="false" borderId="261" fillId="228" fontId="3" numFmtId="0" xfId="0">
      <alignment horizontal="center" vertical="center" wrapText="true"/>
    </xf>
    <xf applyAlignment="true" applyBorder="false" applyFill="true" applyFont="true" applyNumberFormat="false" applyProtection="false" borderId="261" fillId="228" fontId="3" numFmtId="0" xfId="0">
      <alignment horizontal="left" vertical="center" wrapText="true"/>
    </xf>
    <xf applyAlignment="true" applyBorder="false" applyFill="true" applyFont="true" applyNumberFormat="false" applyProtection="false" borderId="261" fillId="228" fontId="3" numFmtId="0" xfId="0">
      <alignment horizontal="center" vertical="center"/>
    </xf>
    <xf applyAlignment="true" applyBorder="false" applyFill="true" applyFont="true" applyNumberFormat="false" applyProtection="false" borderId="261" fillId="228" fontId="4" numFmtId="0" xfId="0">
      <alignment horizontal="center" vertical="center"/>
    </xf>
    <xf applyAlignment="true" applyBorder="false" applyFill="true" applyFont="true" applyNumberFormat="false" applyProtection="false" borderId="267" fillId="228" fontId="5"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261" fillId="219" fontId="3" numFmtId="0" xfId="0">
      <alignment horizontal="left" vertical="center" wrapText="true"/>
    </xf>
    <xf applyAlignment="true" applyBorder="false" applyFill="true" applyFont="true" applyNumberFormat="false" applyProtection="false" borderId="267" fillId="219" fontId="5" numFmtId="0" xfId="0">
      <alignment horizontal="center" vertical="center"/>
    </xf>
    <xf applyAlignment="true" applyBorder="false" applyFill="true" applyFont="true" applyNumberFormat="false" applyProtection="false" borderId="261" fillId="224" fontId="3" numFmtId="0" xfId="0">
      <alignment horizontal="left" vertical="center" wrapText="true"/>
    </xf>
    <xf applyAlignment="true" applyBorder="false" applyFill="true" applyFont="true" applyNumberFormat="false" applyProtection="false" borderId="267" fillId="224" fontId="5" numFmtId="0" xfId="0">
      <alignment horizontal="center" vertical="center"/>
    </xf>
    <xf applyAlignment="true" applyBorder="false" applyFill="true" applyFont="true" applyNumberFormat="false" applyProtection="false" borderId="261" fillId="229" fontId="3" numFmtId="0" xfId="0">
      <alignment horizontal="center" vertical="center" wrapText="true"/>
    </xf>
    <xf applyAlignment="true" applyBorder="false" applyFill="true" applyFont="true" applyNumberFormat="false" applyProtection="false" borderId="261" fillId="229" fontId="3" numFmtId="0" xfId="0">
      <alignment horizontal="left" vertical="center" wrapText="true"/>
    </xf>
    <xf applyAlignment="true" applyBorder="false" applyFill="true" applyFont="true" applyNumberFormat="false" applyProtection="false" borderId="261" fillId="229" fontId="3" numFmtId="0" xfId="0">
      <alignment horizontal="center" vertical="center"/>
    </xf>
    <xf applyAlignment="true" applyBorder="false" applyFill="true" applyFont="true" applyNumberFormat="false" applyProtection="false" borderId="261" fillId="229" fontId="4" numFmtId="0" xfId="0">
      <alignment horizontal="center" vertical="center"/>
    </xf>
    <xf applyAlignment="true" applyBorder="false" applyFill="true" applyFont="true" applyNumberFormat="false" applyProtection="false" borderId="267" fillId="229" fontId="5" numFmtId="0" xfId="0">
      <alignment horizontal="center" vertical="center"/>
    </xf>
    <xf applyAlignment="true" applyBorder="false" applyFill="true" applyFont="true" applyNumberFormat="false" applyProtection="false" borderId="261" fillId="227" fontId="3" numFmtId="0" xfId="0">
      <alignment horizontal="left" vertical="center" wrapText="true"/>
    </xf>
    <xf applyAlignment="true" applyBorder="false" applyFill="true" applyFont="true" applyNumberFormat="false" applyProtection="false" borderId="267" fillId="227" fontId="5" numFmtId="0" xfId="0">
      <alignment horizontal="center" vertical="center"/>
    </xf>
    <xf applyAlignment="true" applyBorder="false" applyFill="true" applyFont="true" applyNumberFormat="false" applyProtection="false" borderId="261" fillId="225" fontId="3" numFmtId="0" xfId="0">
      <alignment horizontal="left" vertical="center" wrapText="true"/>
    </xf>
    <xf applyAlignment="true" applyBorder="false" applyFill="true" applyFont="true" applyNumberFormat="false" applyProtection="false" borderId="267" fillId="225" fontId="5" numFmtId="0" xfId="0">
      <alignment horizontal="center" vertical="center"/>
    </xf>
    <xf applyAlignment="true" applyBorder="false" applyFill="true" applyFont="true" applyNumberFormat="false" applyProtection="false" borderId="261" fillId="220" fontId="3" numFmtId="0" xfId="0">
      <alignment horizontal="left" vertical="center" wrapText="true"/>
    </xf>
    <xf applyAlignment="true" applyBorder="false" applyFill="true" applyFont="true" applyNumberFormat="false" applyProtection="false" borderId="267" fillId="220"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61" fillId="221" fontId="3" numFmtId="0" xfId="0">
      <alignment horizontal="left" vertical="center" wrapText="true"/>
    </xf>
    <xf applyAlignment="true" applyBorder="false" applyFill="true" applyFont="true" applyNumberFormat="false" applyProtection="false" borderId="267" fillId="221" fontId="5" numFmtId="0" xfId="0">
      <alignment horizontal="center" vertical="center"/>
    </xf>
    <xf applyAlignment="true" applyBorder="false" applyFill="true" applyFont="true" applyNumberFormat="false" applyProtection="false" borderId="267" fillId="222" fontId="5" numFmtId="0" xfId="0">
      <alignment horizontal="center" vertical="center"/>
    </xf>
    <xf applyAlignment="true" applyBorder="false" applyFill="true" applyFont="true" applyNumberFormat="false" applyProtection="false" borderId="267" fillId="222" fontId="2" numFmtId="0" xfId="0">
      <alignment horizontal="center" vertical="center"/>
    </xf>
    <xf applyAlignment="true" applyBorder="false" applyFill="true" applyFont="true" applyNumberFormat="false" applyProtection="false" borderId="267" fillId="219" fontId="5" numFmtId="0" xfId="0">
      <alignment horizontal="center" vertical="center"/>
    </xf>
    <xf applyAlignment="true" applyBorder="false" applyFill="true" applyFont="true" applyNumberFormat="false" applyProtection="false" borderId="267" fillId="219" fontId="2" numFmtId="0" xfId="0">
      <alignment horizontal="center" vertical="center"/>
    </xf>
    <xf applyAlignment="true" applyBorder="false" applyFill="true" applyFont="true" applyNumberFormat="false" applyProtection="false" borderId="267" fillId="224" fontId="5" numFmtId="0" xfId="0">
      <alignment horizontal="center" vertical="center" wrapText="true"/>
    </xf>
    <xf applyAlignment="true" applyBorder="false" applyFill="true" applyFont="true" applyNumberFormat="false" applyProtection="false" borderId="267" fillId="224" fontId="5" numFmtId="0" xfId="0">
      <alignment horizontal="left" vertical="center" wrapText="true"/>
    </xf>
    <xf applyAlignment="true" applyBorder="false" applyFill="true" applyFont="true" applyNumberFormat="false" applyProtection="false" borderId="267" fillId="224" fontId="5" numFmtId="0" xfId="0">
      <alignment horizontal="center" vertical="center"/>
    </xf>
    <xf applyAlignment="true" applyBorder="false" applyFill="true" applyFont="true" applyNumberFormat="false" applyProtection="false" borderId="267" fillId="224" fontId="2" numFmtId="0" xfId="0">
      <alignment horizontal="center" vertical="center"/>
    </xf>
    <xf applyAlignment="true" applyBorder="false" applyFill="true" applyFont="true" applyNumberFormat="false" applyProtection="false" borderId="267" fillId="229" fontId="5" numFmtId="0" xfId="0">
      <alignment horizontal="center" vertical="center" wrapText="true"/>
    </xf>
    <xf applyAlignment="true" applyBorder="false" applyFill="true" applyFont="true" applyNumberFormat="false" applyProtection="false" borderId="267" fillId="229" fontId="5" numFmtId="0" xfId="0">
      <alignment horizontal="left" vertical="center" wrapText="true"/>
    </xf>
    <xf applyAlignment="true" applyBorder="false" applyFill="true" applyFont="true" applyNumberFormat="false" applyProtection="false" borderId="267" fillId="229" fontId="5" numFmtId="0" xfId="0">
      <alignment horizontal="center" vertical="center"/>
    </xf>
    <xf applyAlignment="true" applyBorder="false" applyFill="true" applyFont="true" applyNumberFormat="false" applyProtection="false" borderId="267" fillId="229" fontId="2" numFmtId="0" xfId="0">
      <alignment horizontal="center" vertical="center"/>
    </xf>
    <xf applyAlignment="true" applyBorder="false" applyFill="true" applyFont="true" applyNumberFormat="false" applyProtection="false" borderId="267" fillId="227" fontId="5" numFmtId="0" xfId="0">
      <alignment horizontal="center" vertical="center" wrapText="true"/>
    </xf>
    <xf applyAlignment="true" applyBorder="false" applyFill="true" applyFont="true" applyNumberFormat="false" applyProtection="false" borderId="267" fillId="227" fontId="5" numFmtId="0" xfId="0">
      <alignment horizontal="left" vertical="center" wrapText="true"/>
    </xf>
    <xf applyAlignment="true" applyBorder="false" applyFill="true" applyFont="true" applyNumberFormat="false" applyProtection="false" borderId="267" fillId="227" fontId="5" numFmtId="0" xfId="0">
      <alignment horizontal="center" vertical="center"/>
    </xf>
    <xf applyAlignment="true" applyBorder="false" applyFill="true" applyFont="true" applyNumberFormat="false" applyProtection="false" borderId="267" fillId="227" fontId="2" numFmtId="0" xfId="0">
      <alignment horizontal="center" vertical="center"/>
    </xf>
    <xf applyAlignment="true" applyBorder="false" applyFill="true" applyFont="true" applyNumberFormat="false" applyProtection="false" borderId="267" fillId="225" fontId="5" numFmtId="0" xfId="0">
      <alignment horizontal="center" vertical="center" wrapText="true"/>
    </xf>
    <xf applyAlignment="true" applyBorder="false" applyFill="true" applyFont="true" applyNumberFormat="false" applyProtection="false" borderId="267" fillId="225" fontId="5" numFmtId="0" xfId="0">
      <alignment horizontal="left" vertical="center" wrapText="true"/>
    </xf>
    <xf applyAlignment="true" applyBorder="false" applyFill="true" applyFont="true" applyNumberFormat="false" applyProtection="false" borderId="267" fillId="225" fontId="5" numFmtId="0" xfId="0">
      <alignment horizontal="center" vertical="center"/>
    </xf>
    <xf applyAlignment="true" applyBorder="false" applyFill="true" applyFont="true" applyNumberFormat="false" applyProtection="false" borderId="267" fillId="225" fontId="2" numFmtId="0" xfId="0">
      <alignment horizontal="center" vertical="center"/>
    </xf>
    <xf applyAlignment="true" applyBorder="false" applyFill="true" applyFont="true" applyNumberFormat="false" applyProtection="false" borderId="267" fillId="221" fontId="5" numFmtId="0" xfId="0">
      <alignment horizontal="center" vertical="center" wrapText="true"/>
    </xf>
    <xf applyAlignment="true" applyBorder="false" applyFill="true" applyFont="true" applyNumberFormat="false" applyProtection="false" borderId="267" fillId="221" fontId="5" numFmtId="0" xfId="0">
      <alignment horizontal="left" vertical="center" wrapText="true"/>
    </xf>
    <xf applyAlignment="true" applyBorder="false" applyFill="true" applyFont="true" applyNumberFormat="false" applyProtection="false" borderId="267" fillId="221" fontId="5" numFmtId="0" xfId="0">
      <alignment horizontal="center" vertical="center"/>
    </xf>
    <xf applyAlignment="true" applyBorder="false" applyFill="true" applyFont="true" applyNumberFormat="false" applyProtection="false" borderId="267" fillId="221" fontId="2" numFmtId="0" xfId="0">
      <alignment horizontal="center" vertical="center"/>
    </xf>
    <xf applyAlignment="true" applyBorder="false" applyFill="true" applyFont="true" applyNumberFormat="false" applyProtection="false" borderId="267" fillId="222" fontId="5" numFmtId="0" xfId="0">
      <alignment horizontal="center" vertical="center" wrapText="true"/>
    </xf>
    <xf applyAlignment="true" applyBorder="false" applyFill="true" applyFont="true" applyNumberFormat="false" applyProtection="false" borderId="267" fillId="222" fontId="5" numFmtId="0" xfId="0">
      <alignment horizontal="left" vertical="center" wrapText="true"/>
    </xf>
    <xf applyAlignment="true" applyBorder="false" applyFill="true" applyFont="true" applyNumberFormat="false" applyProtection="false" borderId="267" fillId="222" fontId="5" numFmtId="0" xfId="0">
      <alignment horizontal="center" vertical="center"/>
    </xf>
    <xf applyAlignment="true" applyBorder="false" applyFill="false" applyFont="true" applyNumberFormat="false" applyProtection="false" borderId="267" fillId="0" fontId="2" numFmtId="0" xfId="0">
      <alignment horizontal="center" vertical="center" wrapText="true"/>
    </xf>
    <xf applyAlignment="true" applyBorder="false" applyFill="false" applyFont="true" applyNumberFormat="false" applyProtection="false" borderId="267" fillId="0" fontId="5" numFmtId="0" xfId="0">
      <alignment horizontal="center" vertical="center"/>
    </xf>
    <xf applyAlignment="true" applyBorder="false" applyFill="false" applyFont="true" applyNumberFormat="false" applyProtection="false" borderId="267" fillId="0" fontId="2" numFmtId="0" xfId="0">
      <alignment horizontal="center" vertical="center"/>
    </xf>
    <xf applyAlignment="true" applyBorder="false" applyFill="false" applyFont="true" applyNumberFormat="false" applyProtection="false" borderId="267" fillId="0" fontId="2" numFmtId="0" xfId="0">
      <alignment vertical="center"/>
    </xf>
    <xf applyAlignment="true" applyBorder="false" applyFill="true" applyFont="true" applyNumberFormat="false" applyProtection="false" borderId="261" fillId="226" fontId="5" numFmtId="0" xfId="0">
      <alignment horizontal="center" vertical="center" wrapText="true"/>
    </xf>
    <xf applyAlignment="true" applyBorder="false" applyFill="true" applyFont="true" applyNumberFormat="false" applyProtection="false" borderId="261" fillId="221" fontId="5" numFmtId="0" xfId="0">
      <alignment horizontal="center" vertical="center"/>
    </xf>
    <xf applyAlignment="true" applyBorder="false" applyFill="true" applyFont="true" applyNumberFormat="false" applyProtection="false" borderId="261" fillId="222" fontId="5" numFmtId="0" xfId="0">
      <alignment horizontal="center" vertical="center" wrapText="true"/>
    </xf>
    <xf applyAlignment="true" applyBorder="false" applyFill="true" applyFont="true" applyNumberFormat="false" applyProtection="false" borderId="267" fillId="219" fontId="5" numFmtId="0" xfId="0">
      <alignment horizontal="center" vertical="center" wrapText="true"/>
    </xf>
    <xf applyAlignment="true" applyBorder="false" applyFill="true" applyFont="true" applyNumberFormat="false" applyProtection="false" borderId="267" fillId="219" fontId="5" numFmtId="0" xfId="0">
      <alignment horizontal="left" vertical="center" wrapText="true"/>
    </xf>
    <xf applyAlignment="true" applyBorder="false" applyFill="true" applyFont="true" applyNumberFormat="false" applyProtection="false" borderId="261" fillId="223" fontId="4" numFmtId="0" xfId="0">
      <alignment vertical="center"/>
    </xf>
    <xf applyAlignment="true" applyBorder="false" applyFill="true" applyFont="true" applyNumberFormat="false" applyProtection="false" borderId="267" fillId="228" fontId="2" numFmtId="0" xfId="0">
      <alignment horizontal="center" vertical="center"/>
    </xf>
    <xf applyAlignment="true" applyBorder="false" applyFill="true" applyFont="true" applyNumberFormat="false" applyProtection="false" borderId="261" fillId="223" fontId="4" numFmtId="0" xfId="0">
      <alignment vertical="center"/>
    </xf>
    <xf applyAlignment="true" applyBorder="false" applyFill="false" applyFont="true" applyNumberFormat="false" applyProtection="false" borderId="261" fillId="0" fontId="4" numFmtId="0" xfId="0">
      <alignment vertical="center"/>
    </xf>
    <xf applyAlignment="true" applyBorder="false" applyFill="false" applyFont="true" applyNumberFormat="false" applyProtection="false" borderId="268" fillId="0" fontId="4" numFmtId="0" xfId="0">
      <alignment vertical="center"/>
    </xf>
    <xf applyAlignment="true" applyBorder="false" applyFill="false" applyFont="true" applyNumberFormat="false" applyProtection="false" borderId="268" fillId="0" fontId="4" numFmtId="0" xfId="0">
      <alignment vertical="center"/>
    </xf>
    <xf applyAlignment="true" applyBorder="false" applyFill="false" applyFont="true" applyNumberFormat="false" applyProtection="false" borderId="262" fillId="0" fontId="2" numFmtId="0" xfId="0">
      <alignment vertical="center"/>
    </xf>
    <xf applyAlignment="true" applyBorder="false" applyFill="false" applyFont="true" applyNumberFormat="false" applyProtection="false" borderId="265" fillId="0" fontId="4" numFmtId="0" xfId="0">
      <alignment vertical="center"/>
    </xf>
    <xf applyAlignment="true" applyBorder="false" applyFill="false" applyFont="true" applyNumberFormat="false" applyProtection="false" borderId="269" fillId="0" fontId="4" numFmtId="0" xfId="0">
      <alignment vertical="center"/>
    </xf>
    <xf applyAlignment="true" applyBorder="false" applyFill="false" applyFont="true" applyNumberFormat="false" applyProtection="false" borderId="270" fillId="0" fontId="2" numFmtId="0" xfId="0">
      <alignment vertical="center"/>
    </xf>
    <xf applyAlignment="true" applyBorder="false" applyFill="false" applyFont="true" applyNumberFormat="false" applyProtection="false" borderId="271" fillId="0" fontId="4" numFmtId="0" xfId="0">
      <alignment vertical="center"/>
    </xf>
    <xf applyAlignment="true" applyBorder="false" applyFill="false" applyFont="true" applyNumberFormat="false" applyProtection="false" borderId="264" fillId="0" fontId="4" numFmtId="0" xfId="0">
      <alignment vertical="center"/>
    </xf>
    <xf applyAlignment="true" applyBorder="false" applyFill="false" applyFont="true" applyNumberFormat="false" applyProtection="false" borderId="264" fillId="0" fontId="2" numFmtId="0" xfId="0">
      <alignment vertical="center"/>
    </xf>
    <xf applyAlignment="true" applyBorder="false" applyFill="false" applyFont="true" applyNumberFormat="false" applyProtection="false" borderId="264" fillId="0" fontId="4" numFmtId="0" xfId="0">
      <alignment vertical="center"/>
    </xf>
    <xf applyAlignment="true" applyBorder="false" applyFill="false" applyFont="true" applyNumberFormat="false" applyProtection="false" borderId="272" fillId="0" fontId="4" numFmtId="0" xfId="0">
      <alignment vertical="center"/>
    </xf>
    <xf applyAlignment="true" applyBorder="false" applyFill="false" applyFont="true" applyNumberFormat="false" applyProtection="false" borderId="266" fillId="0" fontId="4" numFmtId="0" xfId="0">
      <alignment vertical="center"/>
    </xf>
    <xf applyAlignment="true" applyBorder="false" applyFill="false" applyFont="true" applyNumberFormat="false" applyProtection="false" borderId="273" fillId="0" fontId="1" numFmtId="0" xfId="0">
      <alignment horizontal="center" vertical="center" wrapText="true"/>
    </xf>
    <xf applyAlignment="true" applyBorder="false" applyFill="false" applyFont="true" applyNumberFormat="false" applyProtection="false" borderId="273" fillId="0" fontId="1" numFmtId="0" xfId="0">
      <alignment horizontal="center" vertical="center" wrapText="true"/>
    </xf>
    <xf applyAlignment="true" applyBorder="false" applyFill="false" applyFont="true" applyNumberFormat="true" applyProtection="false" borderId="273" fillId="0" fontId="1" numFmtId="188" xfId="0">
      <alignment horizontal="center" vertical="center" wrapText="true"/>
    </xf>
    <xf applyAlignment="true" applyBorder="false" applyFill="false" applyFont="true" applyNumberFormat="false" applyProtection="false" borderId="274"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75" fillId="0" fontId="6" numFmtId="0" xfId="0">
      <alignment horizontal="left" vertical="center" wrapText="true"/>
    </xf>
    <xf applyAlignment="true" applyBorder="false" applyFill="true" applyFont="true" applyNumberFormat="false" applyProtection="false" borderId="276" fillId="230" fontId="3" numFmtId="0" xfId="0">
      <alignment horizontal="center" vertical="center" wrapText="true"/>
    </xf>
    <xf applyAlignment="true" applyBorder="false" applyFill="false" applyFont="true" applyNumberFormat="false" applyProtection="false" borderId="276" fillId="0" fontId="3" numFmtId="0" xfId="0">
      <alignment horizontal="center" vertical="center"/>
    </xf>
    <xf applyAlignment="true" applyBorder="false" applyFill="true" applyFont="true" applyNumberFormat="false" applyProtection="false" borderId="276" fillId="231" fontId="3" numFmtId="0" xfId="0">
      <alignment horizontal="center" vertical="center" wrapText="true"/>
    </xf>
    <xf applyAlignment="true" applyBorder="false" applyFill="true" applyFont="true" applyNumberFormat="false" applyProtection="false" borderId="276" fillId="231" fontId="3" numFmtId="0" xfId="0">
      <alignment vertical="center" wrapText="true"/>
    </xf>
    <xf applyAlignment="true" applyBorder="false" applyFill="true" applyFont="true" applyNumberFormat="false" applyProtection="false" borderId="276" fillId="231" fontId="3" numFmtId="0" xfId="0">
      <alignment horizontal="center" vertical="center"/>
    </xf>
    <xf applyAlignment="true" applyBorder="false" applyFill="true" applyFont="true" applyNumberFormat="false" applyProtection="false" borderId="276" fillId="231" fontId="4" numFmtId="0" xfId="0">
      <alignment horizontal="center" vertical="center"/>
    </xf>
    <xf applyAlignment="true" applyBorder="false" applyFill="true" applyFont="true" applyNumberFormat="false" applyProtection="false" borderId="276" fillId="231"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76" fillId="230" fontId="3" numFmtId="0" xfId="0">
      <alignment vertical="center" wrapText="true"/>
    </xf>
    <xf applyAlignment="true" applyBorder="false" applyFill="true" applyFont="true" applyNumberFormat="false" applyProtection="false" borderId="276" fillId="230" fontId="3" numFmtId="0" xfId="0">
      <alignment horizontal="center" vertical="center"/>
    </xf>
    <xf applyAlignment="true" applyBorder="false" applyFill="true" applyFont="true" applyNumberFormat="false" applyProtection="false" borderId="276" fillId="230" fontId="4" numFmtId="0" xfId="0">
      <alignment horizontal="center" vertical="center"/>
    </xf>
    <xf applyAlignment="true" applyBorder="false" applyFill="true" applyFont="true" applyNumberFormat="false" applyProtection="false" borderId="276" fillId="230" fontId="3" numFmtId="0" xfId="0">
      <alignment horizontal="center" vertical="center"/>
    </xf>
    <xf applyAlignment="true" applyBorder="false" applyFill="true" applyFont="true" applyNumberFormat="false" applyProtection="false" borderId="276" fillId="230" fontId="4" numFmtId="0" xfId="0">
      <alignment horizontal="center" vertical="center"/>
    </xf>
    <xf applyAlignment="true" applyBorder="false" applyFill="true" applyFont="true" applyNumberFormat="false" applyProtection="false" borderId="276" fillId="232" fontId="3" numFmtId="0" xfId="0">
      <alignment horizontal="center" vertical="center" wrapText="true"/>
    </xf>
    <xf applyAlignment="true" applyBorder="false" applyFill="true" applyFont="true" applyNumberFormat="false" applyProtection="false" borderId="276" fillId="232" fontId="3" numFmtId="0" xfId="0">
      <alignment horizontal="center" vertical="center"/>
    </xf>
    <xf applyAlignment="true" applyBorder="false" applyFill="true" applyFont="true" applyNumberFormat="false" applyProtection="false" borderId="276" fillId="232"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76" fillId="233" fontId="3" numFmtId="0" xfId="0">
      <alignment horizontal="center" vertical="center" wrapText="true"/>
    </xf>
    <xf applyAlignment="true" applyBorder="false" applyFill="false" applyFont="true" applyNumberFormat="false" applyProtection="false" borderId="276" fillId="0" fontId="3" numFmtId="0" xfId="0">
      <alignment horizontal="center" vertical="center" wrapText="true"/>
    </xf>
    <xf applyAlignment="true" applyBorder="false" applyFill="true" applyFont="true" applyNumberFormat="false" applyProtection="false" borderId="276" fillId="233" fontId="3" numFmtId="0" xfId="0">
      <alignment vertical="center" wrapText="true"/>
    </xf>
    <xf applyAlignment="true" applyBorder="false" applyFill="true" applyFont="true" applyNumberFormat="false" applyProtection="false" borderId="276" fillId="233" fontId="3" numFmtId="0" xfId="0">
      <alignment horizontal="center" vertical="center"/>
    </xf>
    <xf applyAlignment="true" applyBorder="false" applyFill="true" applyFont="true" applyNumberFormat="false" applyProtection="false" borderId="276" fillId="233" fontId="4" numFmtId="0" xfId="0">
      <alignment horizontal="center" vertical="center"/>
    </xf>
    <xf applyAlignment="true" applyBorder="false" applyFill="true" applyFont="true" applyNumberFormat="false" applyProtection="false" borderId="276" fillId="233" fontId="4" numFmtId="0" xfId="0">
      <alignment horizontal="center" vertical="center"/>
    </xf>
    <xf applyAlignment="true" applyBorder="false" applyFill="true" applyFont="true" applyNumberFormat="false" applyProtection="false" borderId="276" fillId="233"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276" fillId="234" fontId="3" numFmtId="0" xfId="0">
      <alignment horizontal="center" vertical="center" wrapText="true"/>
    </xf>
    <xf applyAlignment="true" applyBorder="false" applyFill="true" applyFont="true" applyNumberFormat="false" applyProtection="false" borderId="276" fillId="234" fontId="3" numFmtId="0" xfId="0">
      <alignment horizontal="center" vertical="center"/>
    </xf>
    <xf applyAlignment="true" applyBorder="false" applyFill="true" applyFont="true" applyNumberFormat="false" applyProtection="false" borderId="276" fillId="234" fontId="4" numFmtId="0" xfId="0">
      <alignment horizontal="center" vertical="center"/>
    </xf>
    <xf applyAlignment="true" applyBorder="false" applyFill="true" applyFont="true" applyNumberFormat="false" applyProtection="false" borderId="276" fillId="234" fontId="4" numFmtId="0" xfId="0">
      <alignment vertical="center"/>
    </xf>
    <xf applyAlignment="true" applyBorder="false" applyFill="true" applyFont="true" applyNumberFormat="false" applyProtection="false" borderId="276" fillId="234"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76" fillId="0" fontId="4" numFmtId="0" xfId="0">
      <alignment horizontal="center" vertical="center" wrapText="true"/>
    </xf>
    <xf applyAlignment="true" applyBorder="false" applyFill="false" applyFont="true" applyNumberFormat="false" applyProtection="false" borderId="276" fillId="0" fontId="3" numFmtId="0" xfId="0">
      <alignment horizontal="center" vertical="center"/>
    </xf>
    <xf applyAlignment="true" applyBorder="false" applyFill="false" applyFont="true" applyNumberFormat="false" applyProtection="false" borderId="276" fillId="0" fontId="4" numFmtId="0" xfId="0">
      <alignment horizontal="center" vertical="center"/>
    </xf>
    <xf applyAlignment="true" applyBorder="false" applyFill="false" applyFont="true" applyNumberFormat="false" applyProtection="false" borderId="276" fillId="0" fontId="4" numFmtId="0" xfId="0">
      <alignment vertical="center"/>
    </xf>
    <xf applyAlignment="true" applyBorder="false" applyFill="true" applyFont="true" applyNumberFormat="false" applyProtection="false" borderId="276" fillId="235" fontId="3" numFmtId="0" xfId="0">
      <alignment horizontal="center" vertical="center" wrapText="true"/>
    </xf>
    <xf applyAlignment="true" applyBorder="false" applyFill="true" applyFont="true" applyNumberFormat="false" applyProtection="false" borderId="276" fillId="235" fontId="3" numFmtId="0" xfId="0">
      <alignment vertical="center" wrapText="true"/>
    </xf>
    <xf applyAlignment="true" applyBorder="false" applyFill="true" applyFont="true" applyNumberFormat="false" applyProtection="false" borderId="276" fillId="235" fontId="3" numFmtId="0" xfId="0">
      <alignment horizontal="center" vertical="center"/>
    </xf>
    <xf applyAlignment="true" applyBorder="false" applyFill="true" applyFont="true" applyNumberFormat="false" applyProtection="false" borderId="276" fillId="235" fontId="4" numFmtId="0" xfId="0">
      <alignment horizontal="center" vertical="center"/>
    </xf>
    <xf applyAlignment="true" applyBorder="false" applyFill="true" applyFont="true" applyNumberFormat="false" applyProtection="false" borderId="276" fillId="235" fontId="4" numFmtId="0" xfId="0">
      <alignment horizontal="center" vertical="center"/>
    </xf>
    <xf applyAlignment="true" applyBorder="false" applyFill="true" applyFont="true" applyNumberFormat="false" applyProtection="false" borderId="276" fillId="235" fontId="3" numFmtId="0" xfId="0">
      <alignment horizontal="center" vertical="center"/>
    </xf>
    <xf applyAlignment="true" applyBorder="false" applyFill="true" applyFont="true" applyNumberFormat="false" applyProtection="false" borderId="276" fillId="234" fontId="3" numFmtId="0" xfId="0">
      <alignment vertical="center" wrapText="true"/>
    </xf>
    <xf applyAlignment="true" applyBorder="false" applyFill="true" applyFont="true" applyNumberFormat="false" applyProtection="false" borderId="276" fillId="234" fontId="4" numFmtId="0" xfId="0">
      <alignment horizontal="center" vertical="center"/>
    </xf>
    <xf applyAlignment="true" applyBorder="false" applyFill="true" applyFont="true" applyNumberFormat="false" applyProtection="false" borderId="277" fillId="236" fontId="5" numFmtId="0" xfId="0">
      <alignment horizontal="center" vertical="center" wrapText="true"/>
    </xf>
    <xf applyAlignment="true" applyBorder="false" applyFill="true" applyFont="true" applyNumberFormat="false" applyProtection="false" borderId="276" fillId="236" fontId="3" numFmtId="0" xfId="0">
      <alignment vertical="center" wrapText="true"/>
    </xf>
    <xf applyAlignment="true" applyBorder="false" applyFill="true" applyFont="true" applyNumberFormat="false" applyProtection="false" borderId="276" fillId="236" fontId="3" numFmtId="0" xfId="0">
      <alignment horizontal="center" vertical="center"/>
    </xf>
    <xf applyAlignment="true" applyBorder="false" applyFill="true" applyFont="true" applyNumberFormat="false" applyProtection="false" borderId="276" fillId="236" fontId="4" numFmtId="0" xfId="0">
      <alignment horizontal="center" vertical="center"/>
    </xf>
    <xf applyAlignment="true" applyBorder="false" applyFill="true" applyFont="true" applyNumberFormat="false" applyProtection="false" borderId="276" fillId="236" fontId="3" numFmtId="0" xfId="0">
      <alignment horizontal="center" vertical="center"/>
    </xf>
    <xf applyAlignment="true" applyBorder="false" applyFill="false" applyFont="true" applyNumberFormat="false" applyProtection="false" borderId="278" fillId="0" fontId="3" numFmtId="0" xfId="0">
      <alignment horizontal="center" vertical="center" wrapText="true"/>
    </xf>
    <xf applyAlignment="true" applyBorder="false" applyFill="true" applyFont="true" applyNumberFormat="false" applyProtection="false" borderId="279" fillId="230" fontId="3" numFmtId="0" xfId="0">
      <alignment horizontal="center" vertical="center" wrapText="true"/>
    </xf>
    <xf applyAlignment="true" applyBorder="false" applyFill="true" applyFont="true" applyNumberFormat="false" applyProtection="false" borderId="280" fillId="230" fontId="3" numFmtId="0" xfId="0">
      <alignment horizontal="left"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281" fillId="233" fontId="5" numFmtId="0" xfId="0">
      <alignment horizontal="center" vertical="center" wrapText="true"/>
    </xf>
    <xf applyAlignment="true" applyBorder="false" applyFill="true" applyFont="true" applyNumberFormat="false" applyProtection="false" borderId="280" fillId="233" fontId="3" numFmtId="0" xfId="0">
      <alignment horizontal="left" vertical="center" wrapText="true"/>
    </xf>
    <xf applyAlignment="true" applyBorder="false" applyFill="true" applyFont="true" applyNumberFormat="false" applyProtection="false" borderId="276" fillId="237" fontId="3" numFmtId="0" xfId="0">
      <alignment horizontal="center" vertical="center" wrapText="true"/>
    </xf>
    <xf applyAlignment="true" applyBorder="false" applyFill="true" applyFont="true" applyNumberFormat="false" applyProtection="false" borderId="276" fillId="237" fontId="3" numFmtId="0" xfId="0">
      <alignment horizontal="center" vertical="center"/>
    </xf>
    <xf applyAlignment="true" applyBorder="false" applyFill="true" applyFont="true" applyNumberFormat="false" applyProtection="false" borderId="276" fillId="237" fontId="4" numFmtId="0" xfId="0">
      <alignment horizontal="center" vertical="center"/>
    </xf>
    <xf applyAlignment="true" applyBorder="false" applyFill="true" applyFont="true" applyNumberFormat="false" applyProtection="false" borderId="276" fillId="237" fontId="3" numFmtId="0" xfId="0">
      <alignment horizontal="center" vertical="center"/>
    </xf>
    <xf applyAlignment="true" applyBorder="false" applyFill="true" applyFont="true" applyNumberFormat="false" applyProtection="false" borderId="276" fillId="238" fontId="3" numFmtId="0" xfId="0">
      <alignment horizontal="center" vertical="center" wrapText="true"/>
    </xf>
    <xf applyAlignment="true" applyBorder="false" applyFill="true" applyFont="true" applyNumberFormat="false" applyProtection="false" borderId="276" fillId="238" fontId="3" numFmtId="0" xfId="0">
      <alignment horizontal="left" vertical="center" wrapText="true"/>
    </xf>
    <xf applyAlignment="true" applyBorder="false" applyFill="true" applyFont="true" applyNumberFormat="false" applyProtection="false" borderId="276" fillId="238" fontId="3" numFmtId="0" xfId="0">
      <alignment horizontal="center" vertical="center"/>
    </xf>
    <xf applyAlignment="true" applyBorder="false" applyFill="true" applyFont="true" applyNumberFormat="false" applyProtection="false" borderId="276" fillId="238" fontId="4" numFmtId="0" xfId="0">
      <alignment horizontal="center" vertical="center"/>
    </xf>
    <xf applyAlignment="true" applyBorder="false" applyFill="true" applyFont="true" applyNumberFormat="false" applyProtection="false" borderId="282" fillId="238" fontId="5" numFmtId="0" xfId="0">
      <alignment horizontal="center" vertical="center"/>
    </xf>
    <xf applyAlignment="true" applyBorder="false" applyFill="true" applyFont="true" applyNumberFormat="false" applyProtection="false" borderId="276" fillId="230" fontId="3" numFmtId="0" xfId="0">
      <alignment horizontal="left" vertical="center" wrapText="true"/>
    </xf>
    <xf applyAlignment="true" applyBorder="false" applyFill="true" applyFont="true" applyNumberFormat="false" applyProtection="false" borderId="282" fillId="230" fontId="5" numFmtId="0" xfId="0">
      <alignment horizontal="center" vertical="center"/>
    </xf>
    <xf applyAlignment="true" applyBorder="false" applyFill="true" applyFont="true" applyNumberFormat="false" applyProtection="false" borderId="276" fillId="234" fontId="3" numFmtId="0" xfId="0">
      <alignment horizontal="left" vertical="center" wrapText="true"/>
    </xf>
    <xf applyAlignment="true" applyBorder="false" applyFill="true" applyFont="true" applyNumberFormat="false" applyProtection="false" borderId="282" fillId="234" fontId="5" numFmtId="0" xfId="0">
      <alignment horizontal="center" vertical="center"/>
    </xf>
    <xf applyAlignment="true" applyBorder="false" applyFill="true" applyFont="true" applyNumberFormat="false" applyProtection="false" borderId="276" fillId="239" fontId="3" numFmtId="0" xfId="0">
      <alignment horizontal="center" vertical="center" wrapText="true"/>
    </xf>
    <xf applyAlignment="true" applyBorder="false" applyFill="true" applyFont="true" applyNumberFormat="false" applyProtection="false" borderId="276" fillId="239" fontId="3" numFmtId="0" xfId="0">
      <alignment horizontal="left" vertical="center" wrapText="true"/>
    </xf>
    <xf applyAlignment="true" applyBorder="false" applyFill="true" applyFont="true" applyNumberFormat="false" applyProtection="false" borderId="276" fillId="239" fontId="3" numFmtId="0" xfId="0">
      <alignment horizontal="center" vertical="center"/>
    </xf>
    <xf applyAlignment="true" applyBorder="false" applyFill="true" applyFont="true" applyNumberFormat="false" applyProtection="false" borderId="276" fillId="239" fontId="4" numFmtId="0" xfId="0">
      <alignment horizontal="center" vertical="center"/>
    </xf>
    <xf applyAlignment="true" applyBorder="false" applyFill="true" applyFont="true" applyNumberFormat="false" applyProtection="false" borderId="282" fillId="239" fontId="5" numFmtId="0" xfId="0">
      <alignment horizontal="center" vertical="center"/>
    </xf>
    <xf applyAlignment="true" applyBorder="false" applyFill="true" applyFont="true" applyNumberFormat="false" applyProtection="false" borderId="276" fillId="237" fontId="3" numFmtId="0" xfId="0">
      <alignment horizontal="left" vertical="center" wrapText="true"/>
    </xf>
    <xf applyAlignment="true" applyBorder="false" applyFill="true" applyFont="true" applyNumberFormat="false" applyProtection="false" borderId="282" fillId="237" fontId="5" numFmtId="0" xfId="0">
      <alignment horizontal="center" vertical="center"/>
    </xf>
    <xf applyAlignment="true" applyBorder="false" applyFill="true" applyFont="true" applyNumberFormat="false" applyProtection="false" borderId="276" fillId="235" fontId="3" numFmtId="0" xfId="0">
      <alignment horizontal="left" vertical="center" wrapText="true"/>
    </xf>
    <xf applyAlignment="true" applyBorder="false" applyFill="true" applyFont="true" applyNumberFormat="false" applyProtection="false" borderId="282" fillId="235" fontId="5" numFmtId="0" xfId="0">
      <alignment horizontal="center" vertical="center"/>
    </xf>
    <xf applyAlignment="true" applyBorder="false" applyFill="true" applyFont="true" applyNumberFormat="false" applyProtection="false" borderId="276" fillId="231" fontId="3" numFmtId="0" xfId="0">
      <alignment horizontal="left" vertical="center" wrapText="true"/>
    </xf>
    <xf applyAlignment="true" applyBorder="false" applyFill="true" applyFont="true" applyNumberFormat="false" applyProtection="false" borderId="282" fillId="231"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76" fillId="240" fontId="3" numFmtId="0" xfId="0">
      <alignment horizontal="center" vertical="center" wrapText="true"/>
    </xf>
    <xf applyAlignment="true" applyBorder="false" applyFill="true" applyFont="true" applyNumberFormat="false" applyProtection="false" borderId="276" fillId="240" fontId="3" numFmtId="0" xfId="0">
      <alignment horizontal="left" vertical="center" wrapText="true"/>
    </xf>
    <xf applyAlignment="true" applyBorder="false" applyFill="true" applyFont="true" applyNumberFormat="false" applyProtection="false" borderId="276" fillId="240" fontId="3" numFmtId="0" xfId="0">
      <alignment horizontal="center" vertical="center"/>
    </xf>
    <xf applyAlignment="true" applyBorder="false" applyFill="true" applyFont="true" applyNumberFormat="false" applyProtection="false" borderId="276" fillId="240" fontId="4" numFmtId="0" xfId="0">
      <alignment horizontal="center" vertical="center"/>
    </xf>
    <xf applyAlignment="true" applyBorder="false" applyFill="true" applyFont="true" applyNumberFormat="false" applyProtection="false" borderId="282" fillId="240" fontId="5" numFmtId="0" xfId="0">
      <alignment horizontal="center" vertical="center"/>
    </xf>
    <xf applyAlignment="true" applyBorder="false" applyFill="true" applyFont="true" applyNumberFormat="false" applyProtection="false" borderId="282" fillId="233" fontId="5" numFmtId="0" xfId="0">
      <alignment horizontal="center" vertical="center"/>
    </xf>
    <xf applyAlignment="true" applyBorder="false" applyFill="true" applyFont="true" applyNumberFormat="false" applyProtection="false" borderId="282" fillId="233" fontId="2" numFmtId="0" xfId="0">
      <alignment horizontal="center" vertical="center"/>
    </xf>
    <xf applyAlignment="true" applyBorder="false" applyFill="true" applyFont="true" applyNumberFormat="false" applyProtection="false" borderId="282" fillId="230" fontId="5" numFmtId="0" xfId="0">
      <alignment horizontal="center" vertical="center"/>
    </xf>
    <xf applyAlignment="true" applyBorder="false" applyFill="true" applyFont="true" applyNumberFormat="false" applyProtection="false" borderId="282" fillId="230" fontId="2" numFmtId="0" xfId="0">
      <alignment horizontal="center" vertical="center"/>
    </xf>
    <xf applyAlignment="true" applyBorder="false" applyFill="true" applyFont="true" applyNumberFormat="false" applyProtection="false" borderId="282" fillId="234" fontId="5" numFmtId="0" xfId="0">
      <alignment horizontal="center" vertical="center" wrapText="true"/>
    </xf>
    <xf applyAlignment="true" applyBorder="false" applyFill="true" applyFont="true" applyNumberFormat="false" applyProtection="false" borderId="282" fillId="234" fontId="5" numFmtId="0" xfId="0">
      <alignment horizontal="left" vertical="center" wrapText="true"/>
    </xf>
    <xf applyAlignment="true" applyBorder="false" applyFill="true" applyFont="true" applyNumberFormat="false" applyProtection="false" borderId="282" fillId="234" fontId="5" numFmtId="0" xfId="0">
      <alignment horizontal="center" vertical="center"/>
    </xf>
    <xf applyAlignment="true" applyBorder="false" applyFill="true" applyFont="true" applyNumberFormat="false" applyProtection="false" borderId="282" fillId="234" fontId="2" numFmtId="0" xfId="0">
      <alignment horizontal="center" vertical="center"/>
    </xf>
    <xf applyAlignment="true" applyBorder="false" applyFill="true" applyFont="true" applyNumberFormat="false" applyProtection="false" borderId="282" fillId="239" fontId="5" numFmtId="0" xfId="0">
      <alignment horizontal="center" vertical="center" wrapText="true"/>
    </xf>
    <xf applyAlignment="true" applyBorder="false" applyFill="true" applyFont="true" applyNumberFormat="false" applyProtection="false" borderId="282" fillId="239" fontId="5" numFmtId="0" xfId="0">
      <alignment horizontal="left" vertical="center" wrapText="true"/>
    </xf>
    <xf applyAlignment="true" applyBorder="false" applyFill="true" applyFont="true" applyNumberFormat="false" applyProtection="false" borderId="282" fillId="239" fontId="5" numFmtId="0" xfId="0">
      <alignment horizontal="center" vertical="center"/>
    </xf>
    <xf applyAlignment="true" applyBorder="false" applyFill="true" applyFont="true" applyNumberFormat="false" applyProtection="false" borderId="282" fillId="239" fontId="2" numFmtId="0" xfId="0">
      <alignment horizontal="center" vertical="center"/>
    </xf>
    <xf applyAlignment="true" applyBorder="false" applyFill="true" applyFont="true" applyNumberFormat="false" applyProtection="false" borderId="282" fillId="237" fontId="5" numFmtId="0" xfId="0">
      <alignment horizontal="center" vertical="center" wrapText="true"/>
    </xf>
    <xf applyAlignment="true" applyBorder="false" applyFill="true" applyFont="true" applyNumberFormat="false" applyProtection="false" borderId="282" fillId="237" fontId="5" numFmtId="0" xfId="0">
      <alignment horizontal="left" vertical="center" wrapText="true"/>
    </xf>
    <xf applyAlignment="true" applyBorder="false" applyFill="true" applyFont="true" applyNumberFormat="false" applyProtection="false" borderId="282" fillId="237" fontId="5" numFmtId="0" xfId="0">
      <alignment horizontal="center" vertical="center"/>
    </xf>
    <xf applyAlignment="true" applyBorder="false" applyFill="true" applyFont="true" applyNumberFormat="false" applyProtection="false" borderId="282" fillId="237" fontId="2" numFmtId="0" xfId="0">
      <alignment horizontal="center" vertical="center"/>
    </xf>
    <xf applyAlignment="true" applyBorder="false" applyFill="true" applyFont="true" applyNumberFormat="false" applyProtection="false" borderId="282" fillId="235" fontId="5" numFmtId="0" xfId="0">
      <alignment horizontal="center" vertical="center" wrapText="true"/>
    </xf>
    <xf applyAlignment="true" applyBorder="false" applyFill="true" applyFont="true" applyNumberFormat="false" applyProtection="false" borderId="282" fillId="235" fontId="5" numFmtId="0" xfId="0">
      <alignment horizontal="left" vertical="center" wrapText="true"/>
    </xf>
    <xf applyAlignment="true" applyBorder="false" applyFill="true" applyFont="true" applyNumberFormat="false" applyProtection="false" borderId="282" fillId="235" fontId="5" numFmtId="0" xfId="0">
      <alignment horizontal="center" vertical="center"/>
    </xf>
    <xf applyAlignment="true" applyBorder="false" applyFill="true" applyFont="true" applyNumberFormat="false" applyProtection="false" borderId="282" fillId="235" fontId="2" numFmtId="0" xfId="0">
      <alignment horizontal="center" vertical="center"/>
    </xf>
    <xf applyAlignment="true" applyBorder="false" applyFill="true" applyFont="true" applyNumberFormat="false" applyProtection="false" borderId="282" fillId="240" fontId="5" numFmtId="0" xfId="0">
      <alignment horizontal="center" vertical="center" wrapText="true"/>
    </xf>
    <xf applyAlignment="true" applyBorder="false" applyFill="true" applyFont="true" applyNumberFormat="false" applyProtection="false" borderId="282" fillId="240" fontId="5" numFmtId="0" xfId="0">
      <alignment horizontal="left" vertical="center" wrapText="true"/>
    </xf>
    <xf applyAlignment="true" applyBorder="false" applyFill="true" applyFont="true" applyNumberFormat="false" applyProtection="false" borderId="282" fillId="240" fontId="5" numFmtId="0" xfId="0">
      <alignment horizontal="center" vertical="center"/>
    </xf>
    <xf applyAlignment="true" applyBorder="false" applyFill="true" applyFont="true" applyNumberFormat="false" applyProtection="false" borderId="282" fillId="240" fontId="2" numFmtId="0" xfId="0">
      <alignment horizontal="center" vertical="center"/>
    </xf>
    <xf applyAlignment="true" applyBorder="false" applyFill="true" applyFont="true" applyNumberFormat="false" applyProtection="false" borderId="282" fillId="233" fontId="5" numFmtId="0" xfId="0">
      <alignment horizontal="center" vertical="center" wrapText="true"/>
    </xf>
    <xf applyAlignment="true" applyBorder="false" applyFill="true" applyFont="true" applyNumberFormat="false" applyProtection="false" borderId="282" fillId="233" fontId="5" numFmtId="0" xfId="0">
      <alignment horizontal="left" vertical="center" wrapText="true"/>
    </xf>
    <xf applyAlignment="true" applyBorder="false" applyFill="true" applyFont="true" applyNumberFormat="false" applyProtection="false" borderId="282" fillId="233" fontId="5" numFmtId="0" xfId="0">
      <alignment horizontal="center" vertical="center"/>
    </xf>
    <xf applyAlignment="true" applyBorder="false" applyFill="false" applyFont="true" applyNumberFormat="false" applyProtection="false" borderId="282" fillId="0" fontId="2" numFmtId="0" xfId="0">
      <alignment horizontal="center" vertical="center" wrapText="true"/>
    </xf>
    <xf applyAlignment="true" applyBorder="false" applyFill="false" applyFont="true" applyNumberFormat="false" applyProtection="false" borderId="282" fillId="0" fontId="5" numFmtId="0" xfId="0">
      <alignment horizontal="center" vertical="center"/>
    </xf>
    <xf applyAlignment="true" applyBorder="false" applyFill="false" applyFont="true" applyNumberFormat="false" applyProtection="false" borderId="282" fillId="0" fontId="2" numFmtId="0" xfId="0">
      <alignment horizontal="center" vertical="center"/>
    </xf>
    <xf applyAlignment="true" applyBorder="false" applyFill="false" applyFont="true" applyNumberFormat="false" applyProtection="false" borderId="282" fillId="0" fontId="2" numFmtId="0" xfId="0">
      <alignment vertical="center"/>
    </xf>
    <xf applyAlignment="true" applyBorder="false" applyFill="true" applyFont="true" applyNumberFormat="false" applyProtection="false" borderId="276" fillId="236" fontId="5" numFmtId="0" xfId="0">
      <alignment horizontal="center" vertical="center" wrapText="true"/>
    </xf>
    <xf applyAlignment="true" applyBorder="false" applyFill="true" applyFont="true" applyNumberFormat="false" applyProtection="false" borderId="276" fillId="240" fontId="5" numFmtId="0" xfId="0">
      <alignment horizontal="center" vertical="center"/>
    </xf>
    <xf applyAlignment="true" applyBorder="false" applyFill="true" applyFont="true" applyNumberFormat="false" applyProtection="false" borderId="276" fillId="240" fontId="3" numFmtId="0" xfId="0">
      <alignment vertical="center" wrapText="true"/>
    </xf>
    <xf applyAlignment="true" applyBorder="false" applyFill="true" applyFont="true" applyNumberFormat="false" applyProtection="false" borderId="276" fillId="233" fontId="5" numFmtId="0" xfId="0">
      <alignment horizontal="center" vertical="center" wrapText="true"/>
    </xf>
    <xf applyAlignment="true" applyBorder="false" applyFill="true" applyFont="true" applyNumberFormat="false" applyProtection="false" borderId="282" fillId="230" fontId="5" numFmtId="0" xfId="0">
      <alignment horizontal="center" vertical="center" wrapText="true"/>
    </xf>
    <xf applyAlignment="true" applyBorder="false" applyFill="true" applyFont="true" applyNumberFormat="false" applyProtection="false" borderId="282" fillId="230" fontId="5" numFmtId="0" xfId="0">
      <alignment horizontal="left" vertical="center" wrapText="true"/>
    </xf>
    <xf applyAlignment="true" applyBorder="false" applyFill="true" applyFont="true" applyNumberFormat="false" applyProtection="false" borderId="276" fillId="232" fontId="4" numFmtId="0" xfId="0">
      <alignment vertical="center"/>
    </xf>
    <xf applyAlignment="true" applyBorder="false" applyFill="true" applyFont="true" applyNumberFormat="false" applyProtection="false" borderId="282" fillId="238" fontId="2" numFmtId="0" xfId="0">
      <alignment horizontal="center" vertical="center"/>
    </xf>
    <xf applyAlignment="true" applyBorder="false" applyFill="true" applyFont="true" applyNumberFormat="false" applyProtection="false" borderId="276" fillId="232" fontId="4" numFmtId="0" xfId="0">
      <alignment vertical="center"/>
    </xf>
    <xf applyAlignment="true" applyBorder="false" applyFill="false" applyFont="true" applyNumberFormat="false" applyProtection="false" borderId="276" fillId="0" fontId="4" numFmtId="0" xfId="0">
      <alignment vertical="center"/>
    </xf>
    <xf applyAlignment="true" applyBorder="false" applyFill="false" applyFont="true" applyNumberFormat="false" applyProtection="false" borderId="283" fillId="0" fontId="4" numFmtId="0" xfId="0">
      <alignment vertical="center"/>
    </xf>
    <xf applyAlignment="true" applyBorder="false" applyFill="false" applyFont="true" applyNumberFormat="false" applyProtection="false" borderId="283" fillId="0" fontId="4" numFmtId="0" xfId="0">
      <alignment vertical="center"/>
    </xf>
    <xf applyAlignment="true" applyBorder="false" applyFill="false" applyFont="true" applyNumberFormat="false" applyProtection="false" borderId="277" fillId="0" fontId="2" numFmtId="0" xfId="0">
      <alignment vertical="center"/>
    </xf>
    <xf applyAlignment="true" applyBorder="false" applyFill="false" applyFont="true" applyNumberFormat="false" applyProtection="false" borderId="280" fillId="0" fontId="4" numFmtId="0" xfId="0">
      <alignment vertical="center"/>
    </xf>
    <xf applyAlignment="true" applyBorder="false" applyFill="false" applyFont="true" applyNumberFormat="false" applyProtection="false" borderId="284" fillId="0" fontId="4" numFmtId="0" xfId="0">
      <alignment vertical="center"/>
    </xf>
    <xf applyAlignment="true" applyBorder="false" applyFill="false" applyFont="true" applyNumberFormat="false" applyProtection="false" borderId="285" fillId="0" fontId="2" numFmtId="0" xfId="0">
      <alignment vertical="center"/>
    </xf>
    <xf applyAlignment="true" applyBorder="false" applyFill="false" applyFont="true" applyNumberFormat="false" applyProtection="false" borderId="286" fillId="0" fontId="4" numFmtId="0" xfId="0">
      <alignment vertical="center"/>
    </xf>
    <xf applyAlignment="true" applyBorder="false" applyFill="false" applyFont="true" applyNumberFormat="false" applyProtection="false" borderId="279" fillId="0" fontId="4" numFmtId="0" xfId="0">
      <alignment vertical="center"/>
    </xf>
    <xf applyAlignment="true" applyBorder="false" applyFill="false" applyFont="true" applyNumberFormat="false" applyProtection="false" borderId="279" fillId="0" fontId="2" numFmtId="0" xfId="0">
      <alignment vertical="center"/>
    </xf>
    <xf applyAlignment="true" applyBorder="false" applyFill="false" applyFont="true" applyNumberFormat="false" applyProtection="false" borderId="279" fillId="0" fontId="4" numFmtId="0" xfId="0">
      <alignment vertical="center"/>
    </xf>
    <xf applyAlignment="true" applyBorder="false" applyFill="false" applyFont="true" applyNumberFormat="false" applyProtection="false" borderId="287" fillId="0" fontId="4" numFmtId="0" xfId="0">
      <alignment vertical="center"/>
    </xf>
    <xf applyAlignment="true" applyBorder="false" applyFill="false" applyFont="true" applyNumberFormat="false" applyProtection="false" borderId="281" fillId="0" fontId="4" numFmtId="0" xfId="0">
      <alignment vertical="center"/>
    </xf>
    <xf applyAlignment="true" applyBorder="false" applyFill="false" applyFont="true" applyNumberFormat="false" applyProtection="false" borderId="288" fillId="0" fontId="1" numFmtId="0" xfId="0">
      <alignment horizontal="center" vertical="center" wrapText="true"/>
    </xf>
    <xf applyAlignment="true" applyBorder="false" applyFill="false" applyFont="true" applyNumberFormat="false" applyProtection="false" borderId="288" fillId="0" fontId="1" numFmtId="0" xfId="0">
      <alignment horizontal="center" vertical="center" wrapText="true"/>
    </xf>
    <xf applyAlignment="true" applyBorder="false" applyFill="false" applyFont="true" applyNumberFormat="true" applyProtection="false" borderId="288" fillId="0" fontId="1" numFmtId="189" xfId="0">
      <alignment horizontal="center" vertical="center" wrapText="true"/>
    </xf>
    <xf applyAlignment="true" applyBorder="false" applyFill="false" applyFont="true" applyNumberFormat="false" applyProtection="false" borderId="289"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90" fillId="0" fontId="6" numFmtId="0" xfId="0">
      <alignment horizontal="left" vertical="center" wrapText="true"/>
    </xf>
    <xf applyAlignment="true" applyBorder="false" applyFill="true" applyFont="true" applyNumberFormat="false" applyProtection="false" borderId="291" fillId="241" fontId="3" numFmtId="0" xfId="0">
      <alignment horizontal="center" vertical="center" wrapText="true"/>
    </xf>
    <xf applyAlignment="true" applyBorder="false" applyFill="false" applyFont="true" applyNumberFormat="false" applyProtection="false" borderId="291" fillId="0" fontId="3" numFmtId="0" xfId="0">
      <alignment horizontal="center" vertical="center"/>
    </xf>
    <xf applyAlignment="true" applyBorder="false" applyFill="true" applyFont="true" applyNumberFormat="false" applyProtection="false" borderId="291" fillId="242" fontId="3" numFmtId="0" xfId="0">
      <alignment horizontal="center" vertical="center" wrapText="true"/>
    </xf>
    <xf applyAlignment="true" applyBorder="false" applyFill="true" applyFont="true" applyNumberFormat="false" applyProtection="false" borderId="291" fillId="242" fontId="3" numFmtId="0" xfId="0">
      <alignment vertical="center" wrapText="true"/>
    </xf>
    <xf applyAlignment="true" applyBorder="false" applyFill="true" applyFont="true" applyNumberFormat="false" applyProtection="false" borderId="291" fillId="242" fontId="3" numFmtId="0" xfId="0">
      <alignment horizontal="center" vertical="center"/>
    </xf>
    <xf applyAlignment="true" applyBorder="false" applyFill="true" applyFont="true" applyNumberFormat="false" applyProtection="false" borderId="291" fillId="242" fontId="4" numFmtId="0" xfId="0">
      <alignment horizontal="center" vertical="center"/>
    </xf>
    <xf applyAlignment="true" applyBorder="false" applyFill="true" applyFont="true" applyNumberFormat="false" applyProtection="false" borderId="291" fillId="242"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91" fillId="241" fontId="3" numFmtId="0" xfId="0">
      <alignment vertical="center" wrapText="true"/>
    </xf>
    <xf applyAlignment="true" applyBorder="false" applyFill="true" applyFont="true" applyNumberFormat="false" applyProtection="false" borderId="291" fillId="241" fontId="3" numFmtId="0" xfId="0">
      <alignment horizontal="center" vertical="center"/>
    </xf>
    <xf applyAlignment="true" applyBorder="false" applyFill="true" applyFont="true" applyNumberFormat="false" applyProtection="false" borderId="291" fillId="241" fontId="4" numFmtId="0" xfId="0">
      <alignment horizontal="center" vertical="center"/>
    </xf>
    <xf applyAlignment="true" applyBorder="false" applyFill="true" applyFont="true" applyNumberFormat="false" applyProtection="false" borderId="291" fillId="241" fontId="4" numFmtId="0" xfId="0">
      <alignment horizontal="center" vertical="center"/>
    </xf>
    <xf applyAlignment="true" applyBorder="false" applyFill="true" applyFont="true" applyNumberFormat="false" applyProtection="false" borderId="291" fillId="241" fontId="3" numFmtId="0" xfId="0">
      <alignment horizontal="center" vertical="center"/>
    </xf>
    <xf applyAlignment="true" applyBorder="false" applyFill="true" applyFont="true" applyNumberFormat="false" applyProtection="false" borderId="291" fillId="243" fontId="3" numFmtId="0" xfId="0">
      <alignment horizontal="center" vertical="center" wrapText="true"/>
    </xf>
    <xf applyAlignment="true" applyBorder="false" applyFill="true" applyFont="true" applyNumberFormat="false" applyProtection="false" borderId="291" fillId="243" fontId="3" numFmtId="0" xfId="0">
      <alignment horizontal="center" vertical="center"/>
    </xf>
    <xf applyAlignment="true" applyBorder="false" applyFill="true" applyFont="true" applyNumberFormat="false" applyProtection="false" borderId="291" fillId="243"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91" fillId="244" fontId="3" numFmtId="0" xfId="0">
      <alignment horizontal="center" vertical="center" wrapText="true"/>
    </xf>
    <xf applyAlignment="true" applyBorder="false" applyFill="false" applyFont="true" applyNumberFormat="false" applyProtection="false" borderId="291" fillId="0" fontId="3" numFmtId="0" xfId="0">
      <alignment horizontal="center" vertical="center" wrapText="true"/>
    </xf>
    <xf applyAlignment="true" applyBorder="false" applyFill="true" applyFont="true" applyNumberFormat="false" applyProtection="false" borderId="291" fillId="244" fontId="3" numFmtId="0" xfId="0">
      <alignment vertical="center" wrapText="true"/>
    </xf>
    <xf applyAlignment="true" applyBorder="false" applyFill="true" applyFont="true" applyNumberFormat="false" applyProtection="false" borderId="291" fillId="244" fontId="3" numFmtId="0" xfId="0">
      <alignment horizontal="center" vertical="center"/>
    </xf>
    <xf applyAlignment="true" applyBorder="false" applyFill="true" applyFont="true" applyNumberFormat="false" applyProtection="false" borderId="291" fillId="244" fontId="4" numFmtId="0" xfId="0">
      <alignment horizontal="center" vertical="center"/>
    </xf>
    <xf applyAlignment="true" applyBorder="false" applyFill="true" applyFont="true" applyNumberFormat="false" applyProtection="false" borderId="291" fillId="244" fontId="3" numFmtId="0" xfId="0">
      <alignment horizontal="center" vertical="center"/>
    </xf>
    <xf applyAlignment="true" applyBorder="false" applyFill="true" applyFont="true" applyNumberFormat="false" applyProtection="false" borderId="291" fillId="244" fontId="4"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291" fillId="245" fontId="3" numFmtId="0" xfId="0">
      <alignment horizontal="center" vertical="center" wrapText="true"/>
    </xf>
    <xf applyAlignment="true" applyBorder="false" applyFill="true" applyFont="true" applyNumberFormat="false" applyProtection="false" borderId="291" fillId="245" fontId="3" numFmtId="0" xfId="0">
      <alignment horizontal="center" vertical="center"/>
    </xf>
    <xf applyAlignment="true" applyBorder="false" applyFill="true" applyFont="true" applyNumberFormat="false" applyProtection="false" borderId="291" fillId="245" fontId="4" numFmtId="0" xfId="0">
      <alignment horizontal="center" vertical="center"/>
    </xf>
    <xf applyAlignment="true" applyBorder="false" applyFill="true" applyFont="true" applyNumberFormat="false" applyProtection="false" borderId="291" fillId="245" fontId="4" numFmtId="0" xfId="0">
      <alignment vertical="center"/>
    </xf>
    <xf applyAlignment="true" applyBorder="false" applyFill="true" applyFont="true" applyNumberFormat="false" applyProtection="false" borderId="291" fillId="245"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91" fillId="0" fontId="4" numFmtId="0" xfId="0">
      <alignment horizontal="center" vertical="center" wrapText="true"/>
    </xf>
    <xf applyAlignment="true" applyBorder="false" applyFill="false" applyFont="true" applyNumberFormat="false" applyProtection="false" borderId="291" fillId="0" fontId="3" numFmtId="0" xfId="0">
      <alignment horizontal="center" vertical="center"/>
    </xf>
    <xf applyAlignment="true" applyBorder="false" applyFill="false" applyFont="true" applyNumberFormat="false" applyProtection="false" borderId="291" fillId="0" fontId="4" numFmtId="0" xfId="0">
      <alignment horizontal="center" vertical="center"/>
    </xf>
    <xf applyAlignment="true" applyBorder="false" applyFill="false" applyFont="true" applyNumberFormat="false" applyProtection="false" borderId="291" fillId="0" fontId="4" numFmtId="0" xfId="0">
      <alignment vertical="center"/>
    </xf>
    <xf applyAlignment="true" applyBorder="false" applyFill="true" applyFont="true" applyNumberFormat="false" applyProtection="false" borderId="291" fillId="246" fontId="3" numFmtId="0" xfId="0">
      <alignment horizontal="center" vertical="center" wrapText="true"/>
    </xf>
    <xf applyAlignment="true" applyBorder="false" applyFill="true" applyFont="true" applyNumberFormat="false" applyProtection="false" borderId="291" fillId="246" fontId="3" numFmtId="0" xfId="0">
      <alignment vertical="center" wrapText="true"/>
    </xf>
    <xf applyAlignment="true" applyBorder="false" applyFill="true" applyFont="true" applyNumberFormat="false" applyProtection="false" borderId="291" fillId="246" fontId="3" numFmtId="0" xfId="0">
      <alignment horizontal="center" vertical="center"/>
    </xf>
    <xf applyAlignment="true" applyBorder="false" applyFill="true" applyFont="true" applyNumberFormat="false" applyProtection="false" borderId="291" fillId="246" fontId="4" numFmtId="0" xfId="0">
      <alignment horizontal="center" vertical="center"/>
    </xf>
    <xf applyAlignment="true" applyBorder="false" applyFill="true" applyFont="true" applyNumberFormat="false" applyProtection="false" borderId="291" fillId="246" fontId="3" numFmtId="0" xfId="0">
      <alignment horizontal="center" vertical="center"/>
    </xf>
    <xf applyAlignment="true" applyBorder="false" applyFill="true" applyFont="true" applyNumberFormat="false" applyProtection="false" borderId="291" fillId="245" fontId="3" numFmtId="0" xfId="0">
      <alignment vertical="center" wrapText="true"/>
    </xf>
    <xf applyAlignment="true" applyBorder="false" applyFill="true" applyFont="true" applyNumberFormat="false" applyProtection="false" borderId="292" fillId="247" fontId="5" numFmtId="0" xfId="0">
      <alignment horizontal="center" vertical="center" wrapText="true"/>
    </xf>
    <xf applyAlignment="true" applyBorder="false" applyFill="true" applyFont="true" applyNumberFormat="false" applyProtection="false" borderId="291" fillId="247" fontId="3" numFmtId="0" xfId="0">
      <alignment vertical="center" wrapText="true"/>
    </xf>
    <xf applyAlignment="true" applyBorder="false" applyFill="true" applyFont="true" applyNumberFormat="false" applyProtection="false" borderId="291" fillId="247" fontId="3" numFmtId="0" xfId="0">
      <alignment horizontal="center" vertical="center"/>
    </xf>
    <xf applyAlignment="true" applyBorder="false" applyFill="true" applyFont="true" applyNumberFormat="false" applyProtection="false" borderId="291" fillId="247" fontId="4" numFmtId="0" xfId="0">
      <alignment horizontal="center" vertical="center"/>
    </xf>
    <xf applyAlignment="true" applyBorder="false" applyFill="true" applyFont="true" applyNumberFormat="false" applyProtection="false" borderId="291" fillId="247" fontId="3" numFmtId="0" xfId="0">
      <alignment horizontal="center" vertical="center"/>
    </xf>
    <xf applyAlignment="true" applyBorder="false" applyFill="false" applyFont="true" applyNumberFormat="false" applyProtection="false" borderId="293" fillId="0" fontId="3" numFmtId="0" xfId="0">
      <alignment horizontal="center" vertical="center" wrapText="true"/>
    </xf>
    <xf applyAlignment="true" applyBorder="false" applyFill="true" applyFont="true" applyNumberFormat="false" applyProtection="false" borderId="294" fillId="241" fontId="3" numFmtId="0" xfId="0">
      <alignment horizontal="center" vertical="center" wrapText="true"/>
    </xf>
    <xf applyAlignment="true" applyBorder="false" applyFill="true" applyFont="true" applyNumberFormat="false" applyProtection="false" borderId="295" fillId="241" fontId="3" numFmtId="0" xfId="0">
      <alignment horizontal="left"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296" fillId="244" fontId="5" numFmtId="0" xfId="0">
      <alignment horizontal="center" vertical="center" wrapText="true"/>
    </xf>
    <xf applyAlignment="true" applyBorder="false" applyFill="true" applyFont="true" applyNumberFormat="false" applyProtection="false" borderId="295" fillId="244" fontId="3" numFmtId="0" xfId="0">
      <alignment horizontal="left" vertical="center" wrapText="true"/>
    </xf>
    <xf applyAlignment="true" applyBorder="false" applyFill="true" applyFont="true" applyNumberFormat="false" applyProtection="false" borderId="291" fillId="248" fontId="3" numFmtId="0" xfId="0">
      <alignment horizontal="center" vertical="center" wrapText="true"/>
    </xf>
    <xf applyAlignment="true" applyBorder="false" applyFill="true" applyFont="true" applyNumberFormat="false" applyProtection="false" borderId="291" fillId="248" fontId="3" numFmtId="0" xfId="0">
      <alignment horizontal="center" vertical="center"/>
    </xf>
    <xf applyAlignment="true" applyBorder="false" applyFill="true" applyFont="true" applyNumberFormat="false" applyProtection="false" borderId="291" fillId="248" fontId="4" numFmtId="0" xfId="0">
      <alignment horizontal="center" vertical="center"/>
    </xf>
    <xf applyAlignment="true" applyBorder="false" applyFill="true" applyFont="true" applyNumberFormat="false" applyProtection="false" borderId="291" fillId="248" fontId="3" numFmtId="0" xfId="0">
      <alignment horizontal="center" vertical="center"/>
    </xf>
    <xf applyAlignment="true" applyBorder="false" applyFill="true" applyFont="true" applyNumberFormat="false" applyProtection="false" borderId="291" fillId="249" fontId="3" numFmtId="0" xfId="0">
      <alignment horizontal="center" vertical="center" wrapText="true"/>
    </xf>
    <xf applyAlignment="true" applyBorder="false" applyFill="true" applyFont="true" applyNumberFormat="false" applyProtection="false" borderId="291" fillId="249" fontId="3" numFmtId="0" xfId="0">
      <alignment horizontal="left" vertical="center" wrapText="true"/>
    </xf>
    <xf applyAlignment="true" applyBorder="false" applyFill="true" applyFont="true" applyNumberFormat="false" applyProtection="false" borderId="291" fillId="249" fontId="3" numFmtId="0" xfId="0">
      <alignment horizontal="center" vertical="center"/>
    </xf>
    <xf applyAlignment="true" applyBorder="false" applyFill="true" applyFont="true" applyNumberFormat="false" applyProtection="false" borderId="291" fillId="249" fontId="4" numFmtId="0" xfId="0">
      <alignment horizontal="center" vertical="center"/>
    </xf>
    <xf applyAlignment="true" applyBorder="false" applyFill="true" applyFont="true" applyNumberFormat="false" applyProtection="false" borderId="297" fillId="249" fontId="5" numFmtId="0" xfId="0">
      <alignment horizontal="center" vertical="center"/>
    </xf>
    <xf applyAlignment="true" applyBorder="false" applyFill="true" applyFont="true" applyNumberFormat="false" applyProtection="false" borderId="291" fillId="241" fontId="3" numFmtId="0" xfId="0">
      <alignment horizontal="left" vertical="center" wrapText="true"/>
    </xf>
    <xf applyAlignment="true" applyBorder="false" applyFill="true" applyFont="true" applyNumberFormat="false" applyProtection="false" borderId="297" fillId="241" fontId="5" numFmtId="0" xfId="0">
      <alignment horizontal="center" vertical="center"/>
    </xf>
    <xf applyAlignment="true" applyBorder="false" applyFill="true" applyFont="true" applyNumberFormat="false" applyProtection="false" borderId="291" fillId="245" fontId="3" numFmtId="0" xfId="0">
      <alignment horizontal="left" vertical="center" wrapText="true"/>
    </xf>
    <xf applyAlignment="true" applyBorder="false" applyFill="true" applyFont="true" applyNumberFormat="false" applyProtection="false" borderId="297" fillId="245" fontId="5" numFmtId="0" xfId="0">
      <alignment horizontal="center" vertical="center"/>
    </xf>
    <xf applyAlignment="true" applyBorder="false" applyFill="true" applyFont="true" applyNumberFormat="false" applyProtection="false" borderId="291" fillId="250" fontId="3" numFmtId="0" xfId="0">
      <alignment horizontal="center" vertical="center" wrapText="true"/>
    </xf>
    <xf applyAlignment="true" applyBorder="false" applyFill="true" applyFont="true" applyNumberFormat="false" applyProtection="false" borderId="291" fillId="250" fontId="3" numFmtId="0" xfId="0">
      <alignment horizontal="left" vertical="center" wrapText="true"/>
    </xf>
    <xf applyAlignment="true" applyBorder="false" applyFill="true" applyFont="true" applyNumberFormat="false" applyProtection="false" borderId="291" fillId="250" fontId="3" numFmtId="0" xfId="0">
      <alignment horizontal="center" vertical="center"/>
    </xf>
    <xf applyAlignment="true" applyBorder="false" applyFill="true" applyFont="true" applyNumberFormat="false" applyProtection="false" borderId="291" fillId="250" fontId="4" numFmtId="0" xfId="0">
      <alignment horizontal="center" vertical="center"/>
    </xf>
    <xf applyAlignment="true" applyBorder="false" applyFill="true" applyFont="true" applyNumberFormat="false" applyProtection="false" borderId="297" fillId="250" fontId="5" numFmtId="0" xfId="0">
      <alignment horizontal="center" vertical="center"/>
    </xf>
    <xf applyAlignment="true" applyBorder="false" applyFill="true" applyFont="true" applyNumberFormat="false" applyProtection="false" borderId="291" fillId="248" fontId="3" numFmtId="0" xfId="0">
      <alignment horizontal="left" vertical="center" wrapText="true"/>
    </xf>
    <xf applyAlignment="true" applyBorder="false" applyFill="true" applyFont="true" applyNumberFormat="false" applyProtection="false" borderId="297" fillId="248" fontId="5" numFmtId="0" xfId="0">
      <alignment horizontal="center" vertical="center"/>
    </xf>
    <xf applyAlignment="true" applyBorder="false" applyFill="true" applyFont="true" applyNumberFormat="false" applyProtection="false" borderId="291" fillId="246" fontId="3" numFmtId="0" xfId="0">
      <alignment horizontal="left" vertical="center" wrapText="true"/>
    </xf>
    <xf applyAlignment="true" applyBorder="false" applyFill="true" applyFont="true" applyNumberFormat="false" applyProtection="false" borderId="297" fillId="246" fontId="5" numFmtId="0" xfId="0">
      <alignment horizontal="center" vertical="center"/>
    </xf>
    <xf applyAlignment="true" applyBorder="false" applyFill="true" applyFont="true" applyNumberFormat="false" applyProtection="false" borderId="291" fillId="242" fontId="3" numFmtId="0" xfId="0">
      <alignment horizontal="left" vertical="center" wrapText="true"/>
    </xf>
    <xf applyAlignment="true" applyBorder="false" applyFill="true" applyFont="true" applyNumberFormat="false" applyProtection="false" borderId="297" fillId="242" fontId="5"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91" fillId="251" fontId="3" numFmtId="0" xfId="0">
      <alignment horizontal="center" vertical="center" wrapText="true"/>
    </xf>
    <xf applyAlignment="true" applyBorder="false" applyFill="true" applyFont="true" applyNumberFormat="false" applyProtection="false" borderId="291" fillId="251" fontId="3" numFmtId="0" xfId="0">
      <alignment horizontal="left" vertical="center" wrapText="true"/>
    </xf>
    <xf applyAlignment="true" applyBorder="false" applyFill="true" applyFont="true" applyNumberFormat="false" applyProtection="false" borderId="291" fillId="251" fontId="3" numFmtId="0" xfId="0">
      <alignment horizontal="center" vertical="center"/>
    </xf>
    <xf applyAlignment="true" applyBorder="false" applyFill="true" applyFont="true" applyNumberFormat="false" applyProtection="false" borderId="291" fillId="251" fontId="4" numFmtId="0" xfId="0">
      <alignment horizontal="center" vertical="center"/>
    </xf>
    <xf applyAlignment="true" applyBorder="false" applyFill="true" applyFont="true" applyNumberFormat="false" applyProtection="false" borderId="297" fillId="251" fontId="5" numFmtId="0" xfId="0">
      <alignment horizontal="center" vertical="center"/>
    </xf>
    <xf applyAlignment="true" applyBorder="false" applyFill="true" applyFont="true" applyNumberFormat="false" applyProtection="false" borderId="297" fillId="244" fontId="5" numFmtId="0" xfId="0">
      <alignment horizontal="center" vertical="center"/>
    </xf>
    <xf applyAlignment="true" applyBorder="false" applyFill="true" applyFont="true" applyNumberFormat="false" applyProtection="false" borderId="297" fillId="244" fontId="2" numFmtId="0" xfId="0">
      <alignment horizontal="center" vertical="center"/>
    </xf>
    <xf applyAlignment="true" applyBorder="false" applyFill="true" applyFont="true" applyNumberFormat="false" applyProtection="false" borderId="297" fillId="241" fontId="5" numFmtId="0" xfId="0">
      <alignment horizontal="center" vertical="center"/>
    </xf>
    <xf applyAlignment="true" applyBorder="false" applyFill="true" applyFont="true" applyNumberFormat="false" applyProtection="false" borderId="297" fillId="241" fontId="2" numFmtId="0" xfId="0">
      <alignment horizontal="center" vertical="center"/>
    </xf>
    <xf applyAlignment="true" applyBorder="false" applyFill="true" applyFont="true" applyNumberFormat="false" applyProtection="false" borderId="297" fillId="245" fontId="5" numFmtId="0" xfId="0">
      <alignment horizontal="center" vertical="center" wrapText="true"/>
    </xf>
    <xf applyAlignment="true" applyBorder="false" applyFill="true" applyFont="true" applyNumberFormat="false" applyProtection="false" borderId="297" fillId="245" fontId="5" numFmtId="0" xfId="0">
      <alignment horizontal="left" vertical="center" wrapText="true"/>
    </xf>
    <xf applyAlignment="true" applyBorder="false" applyFill="true" applyFont="true" applyNumberFormat="false" applyProtection="false" borderId="297" fillId="245" fontId="5" numFmtId="0" xfId="0">
      <alignment horizontal="center" vertical="center"/>
    </xf>
    <xf applyAlignment="true" applyBorder="false" applyFill="true" applyFont="true" applyNumberFormat="false" applyProtection="false" borderId="297" fillId="245" fontId="2" numFmtId="0" xfId="0">
      <alignment horizontal="center" vertical="center"/>
    </xf>
    <xf applyAlignment="true" applyBorder="false" applyFill="true" applyFont="true" applyNumberFormat="false" applyProtection="false" borderId="297" fillId="250" fontId="5" numFmtId="0" xfId="0">
      <alignment horizontal="center" vertical="center" wrapText="true"/>
    </xf>
    <xf applyAlignment="true" applyBorder="false" applyFill="true" applyFont="true" applyNumberFormat="false" applyProtection="false" borderId="297" fillId="250" fontId="5" numFmtId="0" xfId="0">
      <alignment horizontal="left" vertical="center" wrapText="true"/>
    </xf>
    <xf applyAlignment="true" applyBorder="false" applyFill="true" applyFont="true" applyNumberFormat="false" applyProtection="false" borderId="297" fillId="250" fontId="5" numFmtId="0" xfId="0">
      <alignment horizontal="center" vertical="center"/>
    </xf>
    <xf applyAlignment="true" applyBorder="false" applyFill="true" applyFont="true" applyNumberFormat="false" applyProtection="false" borderId="297" fillId="250" fontId="2" numFmtId="0" xfId="0">
      <alignment horizontal="center" vertical="center"/>
    </xf>
    <xf applyAlignment="true" applyBorder="false" applyFill="true" applyFont="true" applyNumberFormat="false" applyProtection="false" borderId="297" fillId="248" fontId="5" numFmtId="0" xfId="0">
      <alignment horizontal="center" vertical="center" wrapText="true"/>
    </xf>
    <xf applyAlignment="true" applyBorder="false" applyFill="true" applyFont="true" applyNumberFormat="false" applyProtection="false" borderId="297" fillId="248" fontId="5" numFmtId="0" xfId="0">
      <alignment horizontal="left" vertical="center" wrapText="true"/>
    </xf>
    <xf applyAlignment="true" applyBorder="false" applyFill="true" applyFont="true" applyNumberFormat="false" applyProtection="false" borderId="297" fillId="248" fontId="5" numFmtId="0" xfId="0">
      <alignment horizontal="center" vertical="center"/>
    </xf>
    <xf applyAlignment="true" applyBorder="false" applyFill="true" applyFont="true" applyNumberFormat="false" applyProtection="false" borderId="297" fillId="248" fontId="2" numFmtId="0" xfId="0">
      <alignment horizontal="center" vertical="center"/>
    </xf>
    <xf applyAlignment="true" applyBorder="false" applyFill="true" applyFont="true" applyNumberFormat="false" applyProtection="false" borderId="297" fillId="246" fontId="5" numFmtId="0" xfId="0">
      <alignment horizontal="center" vertical="center" wrapText="true"/>
    </xf>
    <xf applyAlignment="true" applyBorder="false" applyFill="true" applyFont="true" applyNumberFormat="false" applyProtection="false" borderId="297" fillId="246" fontId="5" numFmtId="0" xfId="0">
      <alignment horizontal="left" vertical="center" wrapText="true"/>
    </xf>
    <xf applyAlignment="true" applyBorder="false" applyFill="true" applyFont="true" applyNumberFormat="false" applyProtection="false" borderId="297" fillId="246" fontId="5" numFmtId="0" xfId="0">
      <alignment horizontal="center" vertical="center"/>
    </xf>
    <xf applyAlignment="true" applyBorder="false" applyFill="true" applyFont="true" applyNumberFormat="false" applyProtection="false" borderId="297" fillId="246" fontId="2" numFmtId="0" xfId="0">
      <alignment horizontal="center" vertical="center"/>
    </xf>
    <xf applyAlignment="true" applyBorder="false" applyFill="true" applyFont="true" applyNumberFormat="false" applyProtection="false" borderId="297" fillId="251" fontId="5" numFmtId="0" xfId="0">
      <alignment horizontal="center" vertical="center" wrapText="true"/>
    </xf>
    <xf applyAlignment="true" applyBorder="false" applyFill="true" applyFont="true" applyNumberFormat="false" applyProtection="false" borderId="297" fillId="251" fontId="5" numFmtId="0" xfId="0">
      <alignment horizontal="left" vertical="center" wrapText="true"/>
    </xf>
    <xf applyAlignment="true" applyBorder="false" applyFill="true" applyFont="true" applyNumberFormat="false" applyProtection="false" borderId="297" fillId="251" fontId="5" numFmtId="0" xfId="0">
      <alignment horizontal="center" vertical="center"/>
    </xf>
    <xf applyAlignment="true" applyBorder="false" applyFill="true" applyFont="true" applyNumberFormat="false" applyProtection="false" borderId="297" fillId="251" fontId="2" numFmtId="0" xfId="0">
      <alignment horizontal="center" vertical="center"/>
    </xf>
    <xf applyAlignment="true" applyBorder="false" applyFill="true" applyFont="true" applyNumberFormat="false" applyProtection="false" borderId="297" fillId="244" fontId="5" numFmtId="0" xfId="0">
      <alignment horizontal="center" vertical="center" wrapText="true"/>
    </xf>
    <xf applyAlignment="true" applyBorder="false" applyFill="true" applyFont="true" applyNumberFormat="false" applyProtection="false" borderId="297" fillId="244" fontId="5" numFmtId="0" xfId="0">
      <alignment horizontal="left" vertical="center" wrapText="true"/>
    </xf>
    <xf applyAlignment="true" applyBorder="false" applyFill="true" applyFont="true" applyNumberFormat="false" applyProtection="false" borderId="297" fillId="244" fontId="5" numFmtId="0" xfId="0">
      <alignment horizontal="center" vertical="center"/>
    </xf>
    <xf applyAlignment="true" applyBorder="false" applyFill="false" applyFont="true" applyNumberFormat="false" applyProtection="false" borderId="297" fillId="0" fontId="2" numFmtId="0" xfId="0">
      <alignment horizontal="center" vertical="center" wrapText="true"/>
    </xf>
    <xf applyAlignment="true" applyBorder="false" applyFill="false" applyFont="true" applyNumberFormat="false" applyProtection="false" borderId="297" fillId="0" fontId="5" numFmtId="0" xfId="0">
      <alignment horizontal="center" vertical="center"/>
    </xf>
    <xf applyAlignment="true" applyBorder="false" applyFill="false" applyFont="true" applyNumberFormat="false" applyProtection="false" borderId="297" fillId="0" fontId="2" numFmtId="0" xfId="0">
      <alignment horizontal="center" vertical="center"/>
    </xf>
    <xf applyAlignment="true" applyBorder="false" applyFill="false" applyFont="true" applyNumberFormat="false" applyProtection="false" borderId="297" fillId="0" fontId="2" numFmtId="0" xfId="0">
      <alignment vertical="center"/>
    </xf>
    <xf applyAlignment="true" applyBorder="false" applyFill="true" applyFont="true" applyNumberFormat="false" applyProtection="false" borderId="291" fillId="247" fontId="5" numFmtId="0" xfId="0">
      <alignment horizontal="center" vertical="center" wrapText="true"/>
    </xf>
    <xf applyAlignment="true" applyBorder="false" applyFill="true" applyFont="true" applyNumberFormat="false" applyProtection="false" borderId="291" fillId="251" fontId="5" numFmtId="0" xfId="0">
      <alignment horizontal="center" vertical="center"/>
    </xf>
    <xf applyAlignment="true" applyBorder="false" applyFill="true" applyFont="true" applyNumberFormat="false" applyProtection="false" borderId="291" fillId="251" fontId="3" numFmtId="0" xfId="0">
      <alignment vertical="center" wrapText="true"/>
    </xf>
    <xf applyAlignment="true" applyBorder="false" applyFill="true" applyFont="true" applyNumberFormat="false" applyProtection="false" borderId="291" fillId="244" fontId="5" numFmtId="0" xfId="0">
      <alignment horizontal="center" vertical="center" wrapText="true"/>
    </xf>
    <xf applyAlignment="true" applyBorder="false" applyFill="true" applyFont="true" applyNumberFormat="false" applyProtection="false" borderId="297" fillId="241" fontId="5" numFmtId="0" xfId="0">
      <alignment horizontal="center" vertical="center" wrapText="true"/>
    </xf>
    <xf applyAlignment="true" applyBorder="false" applyFill="true" applyFont="true" applyNumberFormat="false" applyProtection="false" borderId="297" fillId="241" fontId="5" numFmtId="0" xfId="0">
      <alignment horizontal="left" vertical="center" wrapText="true"/>
    </xf>
    <xf applyAlignment="true" applyBorder="false" applyFill="true" applyFont="true" applyNumberFormat="false" applyProtection="false" borderId="291" fillId="243" fontId="4" numFmtId="0" xfId="0">
      <alignment vertical="center"/>
    </xf>
    <xf applyAlignment="true" applyBorder="false" applyFill="true" applyFont="true" applyNumberFormat="false" applyProtection="false" borderId="297" fillId="249" fontId="2" numFmtId="0" xfId="0">
      <alignment horizontal="center" vertical="center"/>
    </xf>
    <xf applyAlignment="true" applyBorder="false" applyFill="true" applyFont="true" applyNumberFormat="false" applyProtection="false" borderId="291" fillId="243" fontId="4" numFmtId="0" xfId="0">
      <alignment vertical="center"/>
    </xf>
    <xf applyAlignment="true" applyBorder="false" applyFill="false" applyFont="true" applyNumberFormat="false" applyProtection="false" borderId="291" fillId="0" fontId="4" numFmtId="0" xfId="0">
      <alignment vertical="center"/>
    </xf>
    <xf applyAlignment="true" applyBorder="false" applyFill="false" applyFont="true" applyNumberFormat="false" applyProtection="false" borderId="298" fillId="0" fontId="4" numFmtId="0" xfId="0">
      <alignment vertical="center"/>
    </xf>
    <xf applyAlignment="true" applyBorder="false" applyFill="false" applyFont="true" applyNumberFormat="false" applyProtection="false" borderId="298" fillId="0" fontId="4" numFmtId="0" xfId="0">
      <alignment vertical="center"/>
    </xf>
    <xf applyAlignment="true" applyBorder="false" applyFill="false" applyFont="true" applyNumberFormat="false" applyProtection="false" borderId="292" fillId="0" fontId="2" numFmtId="0" xfId="0">
      <alignment vertical="center"/>
    </xf>
    <xf applyAlignment="true" applyBorder="false" applyFill="false" applyFont="true" applyNumberFormat="false" applyProtection="false" borderId="295" fillId="0" fontId="4" numFmtId="0" xfId="0">
      <alignment vertical="center"/>
    </xf>
    <xf applyAlignment="true" applyBorder="false" applyFill="false" applyFont="true" applyNumberFormat="false" applyProtection="false" borderId="299" fillId="0" fontId="4" numFmtId="0" xfId="0">
      <alignment vertical="center"/>
    </xf>
    <xf applyAlignment="true" applyBorder="false" applyFill="false" applyFont="true" applyNumberFormat="false" applyProtection="false" borderId="300" fillId="0" fontId="2" numFmtId="0" xfId="0">
      <alignment vertical="center"/>
    </xf>
    <xf applyAlignment="true" applyBorder="false" applyFill="false" applyFont="true" applyNumberFormat="false" applyProtection="false" borderId="301" fillId="0" fontId="4" numFmtId="0" xfId="0">
      <alignment vertical="center"/>
    </xf>
    <xf applyAlignment="true" applyBorder="false" applyFill="false" applyFont="true" applyNumberFormat="false" applyProtection="false" borderId="294" fillId="0" fontId="4" numFmtId="0" xfId="0">
      <alignment vertical="center"/>
    </xf>
    <xf applyAlignment="true" applyBorder="false" applyFill="false" applyFont="true" applyNumberFormat="false" applyProtection="false" borderId="294" fillId="0" fontId="2" numFmtId="0" xfId="0">
      <alignment vertical="center"/>
    </xf>
    <xf applyAlignment="true" applyBorder="false" applyFill="false" applyFont="true" applyNumberFormat="false" applyProtection="false" borderId="294" fillId="0" fontId="4" numFmtId="0" xfId="0">
      <alignment vertical="center"/>
    </xf>
    <xf applyAlignment="true" applyBorder="false" applyFill="false" applyFont="true" applyNumberFormat="false" applyProtection="false" borderId="302" fillId="0" fontId="4" numFmtId="0" xfId="0">
      <alignment vertical="center"/>
    </xf>
    <xf applyAlignment="true" applyBorder="false" applyFill="false" applyFont="true" applyNumberFormat="false" applyProtection="false" borderId="296" fillId="0" fontId="4" numFmtId="0" xfId="0">
      <alignment vertical="center"/>
    </xf>
    <xf applyAlignment="true" applyBorder="false" applyFill="false" applyFont="true" applyNumberFormat="false" applyProtection="false" borderId="303" fillId="0" fontId="1" numFmtId="0" xfId="0">
      <alignment horizontal="center" vertical="center" wrapText="true"/>
    </xf>
    <xf applyAlignment="true" applyBorder="false" applyFill="false" applyFont="true" applyNumberFormat="false" applyProtection="false" borderId="303" fillId="0" fontId="1" numFmtId="0" xfId="0">
      <alignment horizontal="center" vertical="center" wrapText="true"/>
    </xf>
    <xf applyAlignment="true" applyBorder="false" applyFill="false" applyFont="true" applyNumberFormat="true" applyProtection="false" borderId="303" fillId="0" fontId="1" numFmtId="190" xfId="0">
      <alignment horizontal="center" vertical="center" wrapText="true"/>
    </xf>
    <xf applyAlignment="true" applyBorder="false" applyFill="false" applyFont="true" applyNumberFormat="false" applyProtection="false" borderId="304"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305" fillId="0" fontId="6" numFmtId="0" xfId="0">
      <alignment horizontal="left" vertical="center" wrapText="true"/>
    </xf>
    <xf applyAlignment="true" applyBorder="false" applyFill="true" applyFont="true" applyNumberFormat="false" applyProtection="false" borderId="306" fillId="252" fontId="3" numFmtId="0" xfId="0">
      <alignment horizontal="center" vertical="center" wrapText="true"/>
    </xf>
    <xf applyAlignment="true" applyBorder="false" applyFill="false" applyFont="true" applyNumberFormat="false" applyProtection="false" borderId="306" fillId="0" fontId="3" numFmtId="0" xfId="0">
      <alignment horizontal="center" vertical="center"/>
    </xf>
    <xf applyAlignment="true" applyBorder="false" applyFill="true" applyFont="true" applyNumberFormat="false" applyProtection="false" borderId="306" fillId="252" fontId="3" numFmtId="0" xfId="0">
      <alignment vertical="center" wrapText="true"/>
    </xf>
    <xf applyAlignment="true" applyBorder="false" applyFill="true" applyFont="true" applyNumberFormat="false" applyProtection="false" borderId="306" fillId="252" fontId="3" numFmtId="0" xfId="0">
      <alignment horizontal="center" vertical="center"/>
    </xf>
    <xf applyAlignment="true" applyBorder="false" applyFill="true" applyFont="true" applyNumberFormat="false" applyProtection="false" borderId="306" fillId="252" fontId="4" numFmtId="0" xfId="0">
      <alignment horizontal="center" vertical="center"/>
    </xf>
    <xf applyAlignment="true" applyBorder="false" applyFill="true" applyFont="true" applyNumberFormat="false" applyProtection="false" borderId="306" fillId="252"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306" fillId="253" fontId="3" numFmtId="0" xfId="0">
      <alignment horizontal="center" vertical="center" wrapText="true"/>
    </xf>
    <xf applyAlignment="true" applyBorder="false" applyFill="true" applyFont="true" applyNumberFormat="false" applyProtection="false" borderId="306" fillId="253" fontId="3" numFmtId="0" xfId="0">
      <alignment horizontal="center" vertical="center"/>
    </xf>
    <xf applyAlignment="true" applyBorder="false" applyFill="true" applyFont="true" applyNumberFormat="false" applyProtection="false" borderId="306" fillId="253"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306" fillId="254" fontId="3" numFmtId="0" xfId="0">
      <alignment horizontal="center" vertical="center" wrapText="true"/>
    </xf>
    <xf applyAlignment="true" applyBorder="false" applyFill="false" applyFont="true" applyNumberFormat="false" applyProtection="false" borderId="306" fillId="0" fontId="3" numFmtId="0" xfId="0">
      <alignment horizontal="center" vertical="center" wrapText="true"/>
    </xf>
    <xf applyAlignment="true" applyBorder="false" applyFill="true" applyFont="true" applyNumberFormat="false" applyProtection="false" borderId="306" fillId="254" fontId="3" numFmtId="0" xfId="0">
      <alignment vertical="center" wrapText="true"/>
    </xf>
    <xf applyAlignment="true" applyBorder="false" applyFill="true" applyFont="true" applyNumberFormat="false" applyProtection="false" borderId="306" fillId="254" fontId="3" numFmtId="0" xfId="0">
      <alignment horizontal="center" vertical="center"/>
    </xf>
    <xf applyAlignment="true" applyBorder="false" applyFill="true" applyFont="true" applyNumberFormat="false" applyProtection="false" borderId="306" fillId="254" fontId="4" numFmtId="0" xfId="0">
      <alignment horizontal="center" vertical="center"/>
    </xf>
    <xf applyAlignment="true" applyBorder="false" applyFill="true" applyFont="true" applyNumberFormat="false" applyProtection="false" borderId="306" fillId="254"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06" fillId="255" fontId="3" numFmtId="0" xfId="0">
      <alignment horizontal="center" vertical="center" wrapText="true"/>
    </xf>
    <xf applyAlignment="true" applyBorder="false" applyFill="true" applyFont="true" applyNumberFormat="false" applyProtection="false" borderId="306" fillId="255" fontId="3" numFmtId="0" xfId="0">
      <alignment horizontal="center" vertical="center"/>
    </xf>
    <xf applyAlignment="true" applyBorder="false" applyFill="true" applyFont="true" applyNumberFormat="false" applyProtection="false" borderId="306" fillId="255" fontId="4" numFmtId="0" xfId="0">
      <alignment horizontal="center" vertical="center"/>
    </xf>
    <xf applyAlignment="true" applyBorder="false" applyFill="true" applyFont="true" applyNumberFormat="false" applyProtection="false" borderId="306" fillId="255"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306" fillId="0" fontId="4" numFmtId="0" xfId="0">
      <alignment horizontal="center" vertical="center" wrapText="true"/>
    </xf>
    <xf applyAlignment="true" applyBorder="false" applyFill="false" applyFont="true" applyNumberFormat="false" applyProtection="false" borderId="306" fillId="0" fontId="3" numFmtId="0" xfId="0">
      <alignment horizontal="center" vertical="center"/>
    </xf>
    <xf applyAlignment="true" applyBorder="false" applyFill="false" applyFont="true" applyNumberFormat="false" applyProtection="false" borderId="306" fillId="0" fontId="4" numFmtId="0" xfId="0">
      <alignment horizontal="center" vertical="center"/>
    </xf>
    <xf applyAlignment="true" applyBorder="false" applyFill="false" applyFont="true" applyNumberFormat="false" applyProtection="false" borderId="306" fillId="0" fontId="4" numFmtId="0" xfId="0">
      <alignment vertical="center"/>
    </xf>
    <xf applyAlignment="true" applyBorder="false" applyFill="false" applyFont="true" applyNumberFormat="false" applyProtection="false" borderId="306" fillId="0" fontId="3" numFmtId="0" xfId="0">
      <alignment horizontal="center" vertical="center"/>
    </xf>
    <xf applyAlignment="true" applyBorder="false" applyFill="true" applyFont="true" applyNumberFormat="false" applyProtection="false" borderId="306" fillId="256" fontId="3" numFmtId="0" xfId="0">
      <alignment horizontal="center" vertical="center" wrapText="true"/>
    </xf>
    <xf applyAlignment="true" applyBorder="false" applyFill="true" applyFont="true" applyNumberFormat="false" applyProtection="false" borderId="306" fillId="256" fontId="3" numFmtId="0" xfId="0">
      <alignment vertical="center" wrapText="true"/>
    </xf>
    <xf applyAlignment="true" applyBorder="false" applyFill="true" applyFont="true" applyNumberFormat="false" applyProtection="false" borderId="306" fillId="256" fontId="3" numFmtId="0" xfId="0">
      <alignment horizontal="center" vertical="center"/>
    </xf>
    <xf applyAlignment="true" applyBorder="false" applyFill="true" applyFont="true" applyNumberFormat="false" applyProtection="false" borderId="306" fillId="256" fontId="4" numFmtId="0" xfId="0">
      <alignment horizontal="center" vertical="center"/>
    </xf>
    <xf applyAlignment="true" applyBorder="false" applyFill="true" applyFont="true" applyNumberFormat="false" applyProtection="false" borderId="306" fillId="256" fontId="3" numFmtId="0" xfId="0">
      <alignment horizontal="center" vertical="center"/>
    </xf>
    <xf applyAlignment="true" applyBorder="false" applyFill="true" applyFont="true" applyNumberFormat="false" applyProtection="false" borderId="306" fillId="256" fontId="4" numFmtId="0" xfId="0">
      <alignment horizontal="center" vertical="center"/>
    </xf>
    <xf applyAlignment="true" applyBorder="false" applyFill="true" applyFont="true" applyNumberFormat="false" applyProtection="false" borderId="306" fillId="255" fontId="3" numFmtId="0" xfId="0">
      <alignment vertical="center" wrapText="true"/>
    </xf>
    <xf applyAlignment="true" applyBorder="false" applyFill="true" applyFont="true" applyNumberFormat="false" applyProtection="false" borderId="307" fillId="257" fontId="5" numFmtId="0" xfId="0">
      <alignment horizontal="center" vertical="center" wrapText="true"/>
    </xf>
    <xf applyAlignment="true" applyBorder="false" applyFill="true" applyFont="true" applyNumberFormat="false" applyProtection="false" borderId="306" fillId="257" fontId="3" numFmtId="0" xfId="0">
      <alignment vertical="center" wrapText="true"/>
    </xf>
    <xf applyAlignment="true" applyBorder="false" applyFill="true" applyFont="true" applyNumberFormat="false" applyProtection="false" borderId="306" fillId="257" fontId="3" numFmtId="0" xfId="0">
      <alignment horizontal="center" vertical="center"/>
    </xf>
    <xf applyAlignment="true" applyBorder="false" applyFill="true" applyFont="true" applyNumberFormat="false" applyProtection="false" borderId="306" fillId="257" fontId="4" numFmtId="0" xfId="0">
      <alignment horizontal="center" vertical="center"/>
    </xf>
    <xf applyAlignment="true" applyBorder="false" applyFill="true" applyFont="true" applyNumberFormat="false" applyProtection="false" borderId="306" fillId="257" fontId="3" numFmtId="0" xfId="0">
      <alignment horizontal="center" vertical="center"/>
    </xf>
    <xf applyAlignment="true" applyBorder="false" applyFill="false" applyFont="true" applyNumberFormat="false" applyProtection="false" borderId="308" fillId="0" fontId="2" numFmtId="0" xfId="0">
      <alignment vertical="center" wrapText="true"/>
    </xf>
    <xf applyAlignment="true" applyBorder="false" applyFill="false" applyFont="true" applyNumberFormat="false" applyProtection="false" borderId="309" fillId="0" fontId="3" numFmtId="0" xfId="0">
      <alignment horizontal="center" vertical="center" wrapText="true"/>
    </xf>
    <xf applyAlignment="true" applyBorder="false" applyFill="true" applyFont="true" applyNumberFormat="false" applyProtection="false" borderId="310" fillId="252" fontId="3" numFmtId="0" xfId="0">
      <alignment horizontal="center" vertical="center" wrapText="true"/>
    </xf>
    <xf applyAlignment="true" applyBorder="false" applyFill="true" applyFont="true" applyNumberFormat="false" applyProtection="false" borderId="311" fillId="252" fontId="3" numFmtId="0" xfId="0">
      <alignment horizontal="left"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311" fillId="254" fontId="3" numFmtId="0" xfId="0">
      <alignment horizontal="left" vertical="center" wrapText="true"/>
    </xf>
    <xf applyAlignment="true" applyBorder="false" applyFill="true" applyFont="true" applyNumberFormat="false" applyProtection="false" borderId="312" fillId="254" fontId="5" numFmtId="0" xfId="0">
      <alignment horizontal="center" vertical="center" wrapText="true"/>
    </xf>
    <xf applyAlignment="true" applyBorder="false" applyFill="true" applyFont="true" applyNumberFormat="false" applyProtection="false" borderId="306" fillId="258" fontId="3" numFmtId="0" xfId="0">
      <alignment horizontal="center" vertical="center" wrapText="true"/>
    </xf>
    <xf applyAlignment="true" applyBorder="false" applyFill="true" applyFont="true" applyNumberFormat="false" applyProtection="false" borderId="306" fillId="258" fontId="3" numFmtId="0" xfId="0">
      <alignment horizontal="left" vertical="center" wrapText="true"/>
    </xf>
    <xf applyAlignment="true" applyBorder="false" applyFill="true" applyFont="true" applyNumberFormat="false" applyProtection="false" borderId="306" fillId="258" fontId="3" numFmtId="0" xfId="0">
      <alignment horizontal="center" vertical="center"/>
    </xf>
    <xf applyAlignment="true" applyBorder="false" applyFill="true" applyFont="true" applyNumberFormat="false" applyProtection="false" borderId="306" fillId="258" fontId="4" numFmtId="0" xfId="0">
      <alignment horizontal="center" vertical="center"/>
    </xf>
    <xf applyAlignment="true" applyBorder="false" applyFill="true" applyFont="true" applyNumberFormat="false" applyProtection="false" borderId="313" fillId="258" fontId="5" numFmtId="0" xfId="0">
      <alignment horizontal="center" vertical="center"/>
    </xf>
    <xf applyAlignment="true" applyBorder="false" applyFill="true" applyFont="true" applyNumberFormat="false" applyProtection="false" borderId="306" fillId="253" fontId="4" numFmtId="0" xfId="0">
      <alignment vertical="center"/>
    </xf>
    <xf applyAlignment="true" applyBorder="false" applyFill="true" applyFont="true" applyNumberFormat="false" applyProtection="false" borderId="306" fillId="253" fontId="4" numFmtId="0" xfId="0">
      <alignment vertical="center"/>
    </xf>
    <xf applyAlignment="true" applyBorder="false" applyFill="false" applyFont="true" applyNumberFormat="false" applyProtection="false" borderId="306" fillId="0" fontId="4" numFmtId="0" xfId="0">
      <alignment vertical="center"/>
    </xf>
    <xf applyAlignment="true" applyBorder="false" applyFill="false" applyFont="true" applyNumberFormat="false" applyProtection="false" borderId="314" fillId="0" fontId="4" numFmtId="0" xfId="0">
      <alignment vertical="center"/>
    </xf>
    <xf applyAlignment="true" applyBorder="false" applyFill="false" applyFont="true" applyNumberFormat="false" applyProtection="false" borderId="314" fillId="0" fontId="4" numFmtId="0" xfId="0">
      <alignment vertical="center"/>
    </xf>
    <xf applyAlignment="true" applyBorder="false" applyFill="false" applyFont="true" applyNumberFormat="false" applyProtection="false" borderId="313" fillId="0" fontId="2" numFmtId="0" xfId="0">
      <alignment vertical="center"/>
    </xf>
    <xf applyAlignment="true" applyBorder="false" applyFill="false" applyFont="true" applyNumberFormat="false" applyProtection="false" borderId="307" fillId="0" fontId="2" numFmtId="0" xfId="0">
      <alignment vertical="center"/>
    </xf>
    <xf applyAlignment="true" applyBorder="false" applyFill="false" applyFont="true" applyNumberFormat="false" applyProtection="false" borderId="311" fillId="0" fontId="4" numFmtId="0" xfId="0">
      <alignment vertical="center"/>
    </xf>
    <xf applyAlignment="true" applyBorder="false" applyFill="false" applyFont="true" applyNumberFormat="false" applyProtection="false" borderId="315" fillId="0" fontId="4" numFmtId="0" xfId="0">
      <alignment vertical="center"/>
    </xf>
    <xf applyAlignment="true" applyBorder="false" applyFill="false" applyFont="true" applyNumberFormat="false" applyProtection="false" borderId="316" fillId="0" fontId="2" numFmtId="0" xfId="0">
      <alignment vertical="center"/>
    </xf>
    <xf applyAlignment="true" applyBorder="false" applyFill="false" applyFont="true" applyNumberFormat="false" applyProtection="false" borderId="317" fillId="0" fontId="4" numFmtId="0" xfId="0">
      <alignment vertical="center"/>
    </xf>
    <xf applyAlignment="true" applyBorder="false" applyFill="false" applyFont="true" applyNumberFormat="false" applyProtection="false" borderId="310" fillId="0" fontId="4" numFmtId="0" xfId="0">
      <alignment vertical="center"/>
    </xf>
    <xf applyAlignment="true" applyBorder="false" applyFill="false" applyFont="true" applyNumberFormat="false" applyProtection="false" borderId="310" fillId="0" fontId="2" numFmtId="0" xfId="0">
      <alignment vertical="center"/>
    </xf>
    <xf applyAlignment="true" applyBorder="false" applyFill="false" applyFont="true" applyNumberFormat="false" applyProtection="false" borderId="310" fillId="0" fontId="4" numFmtId="0" xfId="0">
      <alignment vertical="center"/>
    </xf>
    <xf applyAlignment="true" applyBorder="false" applyFill="false" applyFont="true" applyNumberFormat="false" applyProtection="false" borderId="318" fillId="0" fontId="4" numFmtId="0" xfId="0">
      <alignment vertical="center"/>
    </xf>
    <xf applyAlignment="true" applyBorder="false" applyFill="false" applyFont="true" applyNumberFormat="false" applyProtection="false" borderId="312" fillId="0" fontId="4" numFmtId="0" xfId="0">
      <alignment vertical="center"/>
    </xf>
    <xf applyAlignment="true" applyBorder="false" applyFill="false" applyFont="true" applyNumberFormat="false" applyProtection="false" borderId="319" fillId="0" fontId="1" numFmtId="0" xfId="0">
      <alignment horizontal="center" vertical="center" wrapText="true"/>
    </xf>
    <xf applyAlignment="true" applyBorder="false" applyFill="false" applyFont="true" applyNumberFormat="false" applyProtection="false" borderId="319" fillId="0" fontId="1" numFmtId="0" xfId="0">
      <alignment horizontal="center" vertical="center" wrapText="true"/>
    </xf>
    <xf applyAlignment="true" applyBorder="false" applyFill="false" applyFont="true" applyNumberFormat="true" applyProtection="false" borderId="319" fillId="0" fontId="1" numFmtId="191" xfId="0">
      <alignment horizontal="center" vertical="center" wrapText="true"/>
    </xf>
    <xf applyAlignment="true" applyBorder="false" applyFill="false" applyFont="true" applyNumberFormat="false" applyProtection="false" borderId="320"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321" fillId="0" fontId="6" numFmtId="0" xfId="0">
      <alignment horizontal="left" vertical="center" wrapText="true"/>
    </xf>
    <xf applyAlignment="true" applyBorder="false" applyFill="true" applyFont="true" applyNumberFormat="false" applyProtection="false" borderId="322" fillId="259" fontId="3" numFmtId="0" xfId="0">
      <alignment horizontal="center" vertical="center" wrapText="true"/>
    </xf>
    <xf applyAlignment="true" applyBorder="false" applyFill="false" applyFont="true" applyNumberFormat="false" applyProtection="false" borderId="322" fillId="0" fontId="3" numFmtId="0" xfId="0">
      <alignment horizontal="center" vertical="center"/>
    </xf>
    <xf applyAlignment="true" applyBorder="false" applyFill="true" applyFont="true" applyNumberFormat="false" applyProtection="false" borderId="322" fillId="259" fontId="3" numFmtId="0" xfId="0">
      <alignment vertical="center" wrapText="true"/>
    </xf>
    <xf applyAlignment="true" applyBorder="false" applyFill="true" applyFont="true" applyNumberFormat="false" applyProtection="false" borderId="322" fillId="259" fontId="3" numFmtId="0" xfId="0">
      <alignment horizontal="center" vertical="center"/>
    </xf>
    <xf applyAlignment="true" applyBorder="false" applyFill="true" applyFont="true" applyNumberFormat="false" applyProtection="false" borderId="322" fillId="259" fontId="4" numFmtId="0" xfId="0">
      <alignment horizontal="center" vertical="center"/>
    </xf>
    <xf applyAlignment="true" applyBorder="false" applyFill="true" applyFont="true" applyNumberFormat="false" applyProtection="false" borderId="322" fillId="259"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322" fillId="259" fontId="4" numFmtId="0" xfId="0">
      <alignment horizontal="center" vertical="center"/>
    </xf>
    <xf applyAlignment="true" applyBorder="false" applyFill="true" applyFont="true" applyNumberFormat="false" applyProtection="false" borderId="322" fillId="260" fontId="3" numFmtId="0" xfId="0">
      <alignment horizontal="center" vertical="center" wrapText="true"/>
    </xf>
    <xf applyAlignment="true" applyBorder="false" applyFill="true" applyFont="true" applyNumberFormat="false" applyProtection="false" borderId="322" fillId="260" fontId="3" numFmtId="0" xfId="0">
      <alignment horizontal="center" vertical="center"/>
    </xf>
    <xf applyAlignment="true" applyBorder="false" applyFill="true" applyFont="true" applyNumberFormat="false" applyProtection="false" borderId="322" fillId="260"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322" fillId="261" fontId="3" numFmtId="0" xfId="0">
      <alignment horizontal="center" vertical="center" wrapText="true"/>
    </xf>
    <xf applyAlignment="true" applyBorder="false" applyFill="false" applyFont="true" applyNumberFormat="false" applyProtection="false" borderId="322" fillId="0" fontId="3" numFmtId="0" xfId="0">
      <alignment horizontal="center" vertical="center" wrapText="true"/>
    </xf>
    <xf applyAlignment="true" applyBorder="false" applyFill="true" applyFont="true" applyNumberFormat="false" applyProtection="false" borderId="322" fillId="261" fontId="3" numFmtId="0" xfId="0">
      <alignment horizontal="center" vertical="center"/>
    </xf>
    <xf applyAlignment="true" applyBorder="false" applyFill="true" applyFont="true" applyNumberFormat="false" applyProtection="false" borderId="322" fillId="261" fontId="4" numFmtId="0" xfId="0">
      <alignment horizontal="center" vertical="center"/>
    </xf>
    <xf applyAlignment="true" applyBorder="false" applyFill="true" applyFont="true" applyNumberFormat="false" applyProtection="false" borderId="322" fillId="261"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23" fillId="0" fontId="2" numFmtId="0" xfId="0">
      <alignment vertical="center" wrapText="true"/>
    </xf>
    <xf applyAlignment="true" applyBorder="false" applyFill="false" applyFont="true" applyNumberFormat="false" applyProtection="false" borderId="324" fillId="0" fontId="2" numFmtId="0" xfId="0">
      <alignment vertical="center"/>
    </xf>
    <xf applyAlignment="true" applyBorder="false" applyFill="true" applyFont="true" applyNumberFormat="false" applyProtection="false" borderId="322" fillId="260" fontId="4" numFmtId="0" xfId="0">
      <alignment horizontal="center" vertical="center" wrapText="true"/>
    </xf>
    <xf applyAlignment="true" applyBorder="false" applyFill="true" applyFont="true" applyNumberFormat="false" applyProtection="false" borderId="322" fillId="260" fontId="4" numFmtId="0" xfId="0">
      <alignment horizontal="center" vertical="center"/>
    </xf>
    <xf applyAlignment="true" applyBorder="false" applyFill="true" applyFont="true" applyNumberFormat="false" applyProtection="false" borderId="322" fillId="260" fontId="4" numFmtId="0" xfId="0">
      <alignment vertical="center"/>
    </xf>
    <xf applyAlignment="true" applyBorder="false" applyFill="true" applyFont="true" applyNumberFormat="false" applyProtection="false" borderId="322" fillId="260"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322" fillId="262" fontId="3" numFmtId="0" xfId="0">
      <alignment horizontal="center" vertical="center" wrapText="true"/>
    </xf>
    <xf applyAlignment="true" applyBorder="false" applyFill="true" applyFont="true" applyNumberFormat="false" applyProtection="false" borderId="322" fillId="262" fontId="3" numFmtId="0" xfId="0">
      <alignment vertical="center" wrapText="true"/>
    </xf>
    <xf applyAlignment="true" applyBorder="false" applyFill="true" applyFont="true" applyNumberFormat="false" applyProtection="false" borderId="322" fillId="262" fontId="3" numFmtId="0" xfId="0">
      <alignment horizontal="center" vertical="center"/>
    </xf>
    <xf applyAlignment="true" applyBorder="false" applyFill="true" applyFont="true" applyNumberFormat="false" applyProtection="false" borderId="322" fillId="262" fontId="4" numFmtId="0" xfId="0">
      <alignment horizontal="center" vertical="center"/>
    </xf>
    <xf applyAlignment="true" applyBorder="false" applyFill="true" applyFont="true" applyNumberFormat="false" applyProtection="false" borderId="322" fillId="262" fontId="3" numFmtId="0" xfId="0">
      <alignment horizontal="center" vertical="center"/>
    </xf>
    <xf applyAlignment="true" applyBorder="false" applyFill="true" applyFont="true" applyNumberFormat="false" applyProtection="false" borderId="325" fillId="263" fontId="5" numFmtId="0" xfId="0">
      <alignment horizontal="center" vertical="center" wrapText="true"/>
    </xf>
    <xf applyAlignment="true" applyBorder="false" applyFill="true" applyFont="true" applyNumberFormat="false" applyProtection="false" borderId="322" fillId="263" fontId="3" numFmtId="0" xfId="0">
      <alignment vertical="center" wrapText="true"/>
    </xf>
    <xf applyAlignment="true" applyBorder="false" applyFill="true" applyFont="true" applyNumberFormat="false" applyProtection="false" borderId="322" fillId="263" fontId="3" numFmtId="0" xfId="0">
      <alignment horizontal="center" vertical="center"/>
    </xf>
    <xf applyAlignment="true" applyBorder="false" applyFill="true" applyFont="true" applyNumberFormat="false" applyProtection="false" borderId="322" fillId="263" fontId="4" numFmtId="0" xfId="0">
      <alignment horizontal="center" vertical="center"/>
    </xf>
    <xf applyAlignment="true" applyBorder="false" applyFill="true" applyFont="true" applyNumberFormat="false" applyProtection="false" borderId="322" fillId="263" fontId="3" numFmtId="0" xfId="0">
      <alignment horizontal="center" vertical="center"/>
    </xf>
    <xf applyAlignment="true" applyBorder="false" applyFill="false" applyFont="true" applyNumberFormat="false" applyProtection="false" borderId="326" fillId="0" fontId="2" numFmtId="0" xfId="0">
      <alignment vertical="center" wrapText="true"/>
    </xf>
    <xf applyAlignment="true" applyBorder="false" applyFill="true" applyFont="true" applyNumberFormat="false" applyProtection="false" borderId="322" fillId="263" fontId="3" numFmtId="0" xfId="0">
      <alignment horizontal="center" vertical="center" wrapText="true"/>
    </xf>
    <xf applyAlignment="true" applyBorder="false" applyFill="true" applyFont="true" applyNumberFormat="false" applyProtection="false" borderId="322" fillId="263" fontId="4" numFmtId="0" xfId="0">
      <alignment horizontal="center" vertical="center"/>
    </xf>
    <xf applyAlignment="true" applyBorder="false" applyFill="false" applyFont="true" applyNumberFormat="false" applyProtection="false" borderId="326" fillId="0" fontId="5" numFmtId="0" xfId="0">
      <alignment vertical="center" wrapText="true"/>
    </xf>
    <xf applyAlignment="true" applyBorder="false" applyFill="true" applyFont="true" applyNumberFormat="false" applyProtection="false" borderId="327" fillId="259" fontId="3" numFmtId="0" xfId="0">
      <alignment horizontal="center" vertical="center" wrapText="true"/>
    </xf>
    <xf applyAlignment="true" applyBorder="false" applyFill="true" applyFont="true" applyNumberFormat="false" applyProtection="false" borderId="328" fillId="259" fontId="3" numFmtId="0" xfId="0">
      <alignment horizontal="left"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329" fillId="261" fontId="5" numFmtId="0" xfId="0">
      <alignment horizontal="center" vertical="center" wrapText="true"/>
    </xf>
    <xf applyAlignment="true" applyBorder="false" applyFill="true" applyFont="true" applyNumberFormat="false" applyProtection="false" borderId="328" fillId="261" fontId="3" numFmtId="0" xfId="0">
      <alignment horizontal="left" vertical="center" wrapText="true"/>
    </xf>
    <xf applyAlignment="true" applyBorder="false" applyFill="true" applyFont="true" applyNumberFormat="false" applyProtection="false" borderId="329" fillId="262" fontId="5" numFmtId="0" xfId="0">
      <alignment horizontal="center" vertical="center" wrapText="true"/>
    </xf>
    <xf applyAlignment="true" applyBorder="false" applyFill="true" applyFont="true" applyNumberFormat="false" applyProtection="false" borderId="328" fillId="262" fontId="3" numFmtId="0" xfId="0">
      <alignment horizontal="left" vertical="center" wrapText="true"/>
    </xf>
    <xf applyAlignment="true" applyBorder="false" applyFill="true" applyFont="true" applyNumberFormat="false" applyProtection="false" borderId="322" fillId="264" fontId="3" numFmtId="0" xfId="0">
      <alignment horizontal="center" vertical="center" wrapText="true"/>
    </xf>
    <xf applyAlignment="true" applyBorder="false" applyFill="true" applyFont="true" applyNumberFormat="false" applyProtection="false" borderId="322" fillId="264" fontId="3" numFmtId="0" xfId="0">
      <alignment horizontal="left" vertical="center" wrapText="true"/>
    </xf>
    <xf applyAlignment="true" applyBorder="false" applyFill="true" applyFont="true" applyNumberFormat="false" applyProtection="false" borderId="322" fillId="264" fontId="3" numFmtId="0" xfId="0">
      <alignment horizontal="center" vertical="center"/>
    </xf>
    <xf applyAlignment="true" applyBorder="false" applyFill="true" applyFont="true" applyNumberFormat="false" applyProtection="false" borderId="322" fillId="264" fontId="4" numFmtId="0" xfId="0">
      <alignment horizontal="center" vertical="center"/>
    </xf>
    <xf applyAlignment="true" applyBorder="false" applyFill="true" applyFont="true" applyNumberFormat="false" applyProtection="false" borderId="330" fillId="264" fontId="5" numFmtId="0" xfId="0">
      <alignment horizontal="center" vertical="center"/>
    </xf>
    <xf applyAlignment="true" applyBorder="false" applyFill="true" applyFont="true" applyNumberFormat="false" applyProtection="false" borderId="322" fillId="260" fontId="4" numFmtId="0" xfId="0">
      <alignment vertical="center"/>
    </xf>
    <xf applyAlignment="true" applyBorder="false" applyFill="false" applyFont="true" applyNumberFormat="false" applyProtection="false" borderId="322" fillId="0" fontId="4" numFmtId="0" xfId="0">
      <alignment vertical="center"/>
    </xf>
    <xf applyAlignment="true" applyBorder="false" applyFill="false" applyFont="true" applyNumberFormat="false" applyProtection="false" borderId="322" fillId="0" fontId="4" numFmtId="0" xfId="0">
      <alignment vertical="center"/>
    </xf>
    <xf applyAlignment="true" applyBorder="false" applyFill="false" applyFont="true" applyNumberFormat="false" applyProtection="false" borderId="331" fillId="0" fontId="4" numFmtId="0" xfId="0">
      <alignment vertical="center"/>
    </xf>
    <xf applyAlignment="true" applyBorder="false" applyFill="false" applyFont="true" applyNumberFormat="false" applyProtection="false" borderId="331" fillId="0" fontId="4" numFmtId="0" xfId="0">
      <alignment vertical="center"/>
    </xf>
    <xf applyAlignment="true" applyBorder="false" applyFill="false" applyFont="true" applyNumberFormat="false" applyProtection="false" borderId="330" fillId="0" fontId="2" numFmtId="0" xfId="0">
      <alignment vertical="center"/>
    </xf>
    <xf applyAlignment="true" applyBorder="false" applyFill="false" applyFont="true" applyNumberFormat="false" applyProtection="false" borderId="325" fillId="0" fontId="2" numFmtId="0" xfId="0">
      <alignment vertical="center"/>
    </xf>
    <xf applyAlignment="true" applyBorder="false" applyFill="false" applyFont="true" applyNumberFormat="false" applyProtection="false" borderId="328" fillId="0" fontId="4" numFmtId="0" xfId="0">
      <alignment vertical="center"/>
    </xf>
    <xf applyAlignment="true" applyBorder="false" applyFill="false" applyFont="true" applyNumberFormat="false" applyProtection="false" borderId="332" fillId="0" fontId="4" numFmtId="0" xfId="0">
      <alignment vertical="center"/>
    </xf>
    <xf applyAlignment="true" applyBorder="false" applyFill="false" applyFont="true" applyNumberFormat="false" applyProtection="false" borderId="333" fillId="0" fontId="2" numFmtId="0" xfId="0">
      <alignment vertical="center"/>
    </xf>
    <xf applyAlignment="true" applyBorder="false" applyFill="false" applyFont="true" applyNumberFormat="false" applyProtection="false" borderId="334" fillId="0" fontId="4" numFmtId="0" xfId="0">
      <alignment vertical="center"/>
    </xf>
    <xf applyAlignment="true" applyBorder="false" applyFill="false" applyFont="true" applyNumberFormat="false" applyProtection="false" borderId="327" fillId="0" fontId="4" numFmtId="0" xfId="0">
      <alignment vertical="center"/>
    </xf>
    <xf applyAlignment="true" applyBorder="false" applyFill="false" applyFont="true" applyNumberFormat="false" applyProtection="false" borderId="327" fillId="0" fontId="2" numFmtId="0" xfId="0">
      <alignment vertical="center"/>
    </xf>
    <xf applyAlignment="true" applyBorder="false" applyFill="false" applyFont="true" applyNumberFormat="false" applyProtection="false" borderId="327" fillId="0" fontId="4" numFmtId="0" xfId="0">
      <alignment vertical="center"/>
    </xf>
    <xf applyAlignment="true" applyBorder="false" applyFill="false" applyFont="true" applyNumberFormat="false" applyProtection="false" borderId="335" fillId="0" fontId="4" numFmtId="0" xfId="0">
      <alignment vertical="center"/>
    </xf>
    <xf applyAlignment="true" applyBorder="false" applyFill="false" applyFont="true" applyNumberFormat="false" applyProtection="false" borderId="329" fillId="0" fontId="4"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1" defaultRowHeight="16"/>
  <cols>
    <col collapsed="false" customWidth="true" hidden="false" max="1" min="1" style="0" width="17"/>
    <col collapsed="false" customWidth="true" hidden="false" max="2" min="2" style="0" width="21"/>
    <col collapsed="false" customWidth="true" hidden="false" max="5" min="5" style="0" width="11"/>
    <col collapsed="false" customWidth="true" hidden="false" max="7" min="7" style="0" width="18"/>
    <col collapsed="false" customWidth="true" hidden="false" max="8" min="8" style="0" width="55"/>
  </cols>
  <sheetData>
    <row r="1">
      <c r="A1" s="1" t="s">
        <v>1</v>
      </c>
      <c r="B1" s="1" t="s">
        <v>2</v>
      </c>
      <c r="C1" s="2" t="s">
        <v>3</v>
      </c>
      <c r="D1" s="3" t="s">
        <v>4</v>
      </c>
      <c r="E1" s="4" t="s">
        <v>5</v>
      </c>
      <c r="F1" s="4" t="s">
        <v>6</v>
      </c>
      <c r="H1" s="5" t="s">
        <v>7</v>
      </c>
    </row>
    <row r="2">
      <c r="A2" s="6" t="s">
        <v>8</v>
      </c>
      <c r="B2" s="7" t="s">
        <v>9</v>
      </c>
      <c r="C2" s="6">
        <v>8</v>
      </c>
      <c r="D2" s="8" t="s">
        <v>10</v>
      </c>
      <c r="E2" s="9">
        <v>4</v>
      </c>
      <c r="F2" s="10">
        <f>C2-E2</f>
      </c>
      <c r="G2" s="11"/>
    </row>
    <row customHeight="true" ht="27" r="3">
      <c r="A3" s="12" t="s">
        <v>11</v>
      </c>
      <c r="B3" s="12"/>
      <c r="C3" s="13">
        <f>SUBTOTAL(9,C2)</f>
      </c>
      <c r="D3" s="14"/>
      <c r="E3" s="15"/>
      <c r="F3" s="13">
        <f>F2</f>
      </c>
      <c r="G3" s="11"/>
    </row>
    <row r="4">
      <c r="A4" s="16" t="s">
        <v>12</v>
      </c>
      <c r="B4" s="17" t="s">
        <v>9</v>
      </c>
      <c r="C4" s="18">
        <v>12</v>
      </c>
      <c r="D4" s="19" t="s">
        <v>13</v>
      </c>
      <c r="E4" s="19">
        <v>2</v>
      </c>
      <c r="F4" s="20">
        <f t="shared" ref="F4:F6" si="1">C4-E4</f>
      </c>
      <c r="G4" s="21" t="s">
        <v>14</v>
      </c>
      <c r="I4" s="22"/>
    </row>
    <row customHeight="true" ht="26" r="5">
      <c r="A5" s="23" t="s">
        <v>15</v>
      </c>
      <c r="B5" s="24" t="s">
        <v>16</v>
      </c>
      <c r="C5" s="18">
        <v>8</v>
      </c>
      <c r="D5" s="19" t="s">
        <v>17</v>
      </c>
      <c r="E5" s="19">
        <v>8</v>
      </c>
      <c r="F5" s="20">
        <f t="shared" si="1"/>
      </c>
      <c r="G5" s="11"/>
    </row>
    <row r="6">
      <c r="A6" s="23" t="s">
        <v>15</v>
      </c>
      <c r="B6" s="24" t="s">
        <v>18</v>
      </c>
      <c r="C6" s="18">
        <v>8</v>
      </c>
      <c r="D6" s="19" t="s">
        <v>13</v>
      </c>
      <c r="E6" s="19">
        <v>8</v>
      </c>
      <c r="F6" s="20">
        <f t="shared" si="1"/>
      </c>
      <c r="G6" s="11"/>
    </row>
    <row customHeight="true" ht="16" r="7">
      <c r="A7" s="12" t="s">
        <v>11</v>
      </c>
      <c r="B7" s="12"/>
      <c r="C7" s="13">
        <f>SUBTOTAL(9,C4:C6)</f>
      </c>
      <c r="D7" s="14"/>
      <c r="E7" s="15"/>
      <c r="F7" s="13">
        <f>SUM(F4:F6)</f>
      </c>
      <c r="G7" s="11"/>
    </row>
    <row r="8">
      <c r="A8" s="25" t="s">
        <v>19</v>
      </c>
      <c r="B8" s="26" t="s">
        <v>9</v>
      </c>
      <c r="C8" s="27">
        <v>5</v>
      </c>
      <c r="D8" s="28" t="s">
        <v>20</v>
      </c>
      <c r="E8" s="29">
        <v>3</v>
      </c>
      <c r="F8" s="30">
        <f t="shared" ref="F8:F10" si="2">C8-E8</f>
      </c>
      <c r="G8" s="11"/>
    </row>
    <row r="9">
      <c r="A9" s="25"/>
      <c r="B9" s="26" t="s">
        <v>21</v>
      </c>
      <c r="C9" s="27">
        <v>5</v>
      </c>
      <c r="D9" s="28" t="s">
        <v>13</v>
      </c>
      <c r="E9" s="28">
        <v>9</v>
      </c>
      <c r="F9" s="30">
        <f t="shared" si="2"/>
      </c>
      <c r="G9" s="11"/>
    </row>
    <row r="10">
      <c r="A10" s="25"/>
      <c r="B10" s="26" t="s">
        <v>22</v>
      </c>
      <c r="C10" s="27">
        <v>5</v>
      </c>
      <c r="D10" s="28" t="s">
        <v>23</v>
      </c>
      <c r="E10" s="28">
        <v>5</v>
      </c>
      <c r="F10" s="30">
        <f t="shared" si="2"/>
      </c>
      <c r="G10" s="11"/>
    </row>
    <row customHeight="true" ht="16" r="11">
      <c r="A11" s="12" t="s">
        <v>11</v>
      </c>
      <c r="B11" s="12"/>
      <c r="C11" s="13">
        <f>SUBTOTAL(9,C8:C10)</f>
      </c>
      <c r="D11" s="14"/>
      <c r="E11" s="15"/>
      <c r="F11" s="13">
        <f>SUM(F8:F10)</f>
      </c>
      <c r="G11" s="11"/>
    </row>
    <row r="12">
      <c r="A12" s="31" t="s">
        <v>24</v>
      </c>
      <c r="B12" s="32" t="s">
        <v>9</v>
      </c>
      <c r="C12" s="33">
        <v>8</v>
      </c>
      <c r="D12" s="34" t="s">
        <v>25</v>
      </c>
      <c r="E12" s="34">
        <v>5</v>
      </c>
      <c r="F12" s="35">
        <f>C12-E12</f>
      </c>
      <c r="G12" s="21" t="s">
        <v>26</v>
      </c>
    </row>
    <row customHeight="true" ht="16" r="13">
      <c r="A13" s="12" t="s">
        <v>11</v>
      </c>
      <c r="B13" s="12"/>
      <c r="C13" s="13">
        <f>C12</f>
      </c>
      <c r="D13" s="36"/>
      <c r="E13" s="36"/>
      <c r="F13" s="13">
        <f>F12</f>
      </c>
      <c r="G13" s="11"/>
    </row>
    <row r="14">
      <c r="A14" s="37" t="s">
        <v>27</v>
      </c>
      <c r="B14" s="38" t="s">
        <v>9</v>
      </c>
      <c r="C14" s="39">
        <v>5</v>
      </c>
      <c r="D14" s="40" t="s">
        <v>20</v>
      </c>
      <c r="E14" s="41">
        <v>6</v>
      </c>
      <c r="F14" s="42">
        <f t="shared" ref="F14:F15" si="3">C14-E14</f>
      </c>
      <c r="G14" s="11"/>
    </row>
    <row customHeight="true" ht="16" r="15">
      <c r="A15" s="37"/>
      <c r="B15" s="38" t="s">
        <v>28</v>
      </c>
      <c r="C15" s="39">
        <v>5</v>
      </c>
      <c r="D15" s="40" t="s">
        <v>20</v>
      </c>
      <c r="E15" s="41">
        <v>2</v>
      </c>
      <c r="F15" s="42">
        <f t="shared" si="3"/>
      </c>
      <c r="G15" s="11"/>
    </row>
    <row customHeight="true" ht="16" r="16">
      <c r="A16" s="12" t="s">
        <v>11</v>
      </c>
      <c r="B16" s="12"/>
      <c r="C16" s="13">
        <f>SUBTOTAL(9,C14:C15)</f>
      </c>
      <c r="D16" s="36"/>
      <c r="E16" s="36"/>
      <c r="F16" s="43">
        <f>SUM(F14:F15)</f>
      </c>
      <c r="G16" s="11"/>
    </row>
    <row r="17">
      <c r="A17" s="44" t="s">
        <v>29</v>
      </c>
      <c r="B17" s="45" t="s">
        <v>9</v>
      </c>
      <c r="C17" s="44">
        <v>5</v>
      </c>
      <c r="D17" s="46" t="s">
        <v>23</v>
      </c>
      <c r="E17" s="46">
        <v>5</v>
      </c>
      <c r="F17" s="47">
        <f>C17-E17</f>
      </c>
      <c r="G17" s="11"/>
    </row>
    <row customHeight="true" ht="16" r="18">
      <c r="A18" s="12" t="s">
        <v>11</v>
      </c>
      <c r="B18" s="12"/>
      <c r="C18" s="48">
        <f>C17</f>
      </c>
      <c r="D18" s="49"/>
      <c r="E18" s="49"/>
      <c r="F18" s="13">
        <f>F17</f>
      </c>
      <c r="G18" s="22"/>
      <c r="H18" s="22"/>
      <c r="I18" s="22"/>
      <c r="J18" s="22"/>
      <c r="K18" s="22"/>
      <c r="L18" s="22"/>
      <c r="M18" s="22"/>
      <c r="N18" s="22"/>
      <c r="O18" s="22"/>
      <c r="P18" s="22"/>
      <c r="Q18" s="22"/>
      <c r="R18" s="22"/>
      <c r="S18" s="22"/>
      <c r="T18" s="22"/>
      <c r="U18" s="22"/>
    </row>
    <row r="19">
      <c r="A19" s="50" t="s">
        <v>30</v>
      </c>
      <c r="B19" s="51" t="s">
        <v>9</v>
      </c>
      <c r="C19" s="52">
        <v>5</v>
      </c>
      <c r="D19" s="53" t="s">
        <v>17</v>
      </c>
      <c r="E19" s="53">
        <v>5</v>
      </c>
      <c r="F19" s="54">
        <f>C19-E19</f>
      </c>
      <c r="G19" s="11"/>
    </row>
    <row r="20">
      <c r="A20" s="55" t="s">
        <v>11</v>
      </c>
      <c r="B20" s="49"/>
      <c r="C20" s="56">
        <f>C19</f>
      </c>
      <c r="D20" s="49"/>
      <c r="E20" s="57"/>
      <c r="F20" s="13">
        <f>F19</f>
      </c>
      <c r="G20" s="11"/>
    </row>
    <row customHeight="true" ht="32" r="21">
      <c r="A21" s="58" t="s">
        <v>31</v>
      </c>
      <c r="B21" s="59" t="s">
        <v>32</v>
      </c>
      <c r="C21" s="58">
        <v>2</v>
      </c>
      <c r="D21" s="60" t="s">
        <v>13</v>
      </c>
      <c r="E21" s="61"/>
      <c r="F21" s="58">
        <f t="shared" ref="F21:F22" si="4">C21-E21</f>
      </c>
      <c r="G21" s="11"/>
      <c r="H21" s="11"/>
    </row>
    <row customHeight="true" ht="16" r="22">
      <c r="A22" s="58"/>
      <c r="B22" s="59"/>
      <c r="C22" s="58">
        <v>3</v>
      </c>
      <c r="D22" s="60" t="s">
        <v>25</v>
      </c>
      <c r="E22" s="61"/>
      <c r="F22" s="58">
        <f t="shared" si="4"/>
      </c>
      <c r="G22" s="11"/>
      <c r="H22" s="11"/>
    </row>
    <row customHeight="true" ht="16" r="23">
      <c r="A23" s="62" t="s">
        <v>11</v>
      </c>
      <c r="B23" s="62"/>
      <c r="C23" s="63">
        <f>SUM(C21:C22)</f>
      </c>
      <c r="D23" s="62"/>
      <c r="E23" s="64"/>
      <c r="F23" s="63">
        <f>SUM(F21:F22)</f>
      </c>
      <c r="G23" s="11"/>
      <c r="H23" s="11"/>
    </row>
    <row customHeight="true" ht="16" r="24">
      <c r="A24" s="63" t="s">
        <v>33</v>
      </c>
      <c r="B24" s="65" t="s">
        <v>34</v>
      </c>
      <c r="C24" s="63">
        <v>15</v>
      </c>
      <c r="D24" s="62"/>
      <c r="E24" s="64"/>
      <c r="F24" s="63"/>
      <c r="G24" s="11"/>
      <c r="H24" s="11"/>
    </row>
    <row customHeight="true" ht="16" r="25">
      <c r="A25" s="66" t="s">
        <v>11</v>
      </c>
      <c r="B25" s="67"/>
      <c r="C25" s="67">
        <f>SUM(C3,C7,C11,C13,C16,C18,C20,C24,C23)</f>
      </c>
      <c r="D25" s="68"/>
      <c r="E25" s="69"/>
      <c r="F25" s="66">
        <f>C25-E25</f>
      </c>
      <c r="G25" s="11"/>
      <c r="H25" s="11"/>
    </row>
    <row customHeight="true" ht="16" r="26">
      <c r="A26" s="11"/>
      <c r="B26" s="11"/>
      <c r="C26" s="11"/>
      <c r="D26" s="21"/>
      <c r="E26" s="21"/>
      <c r="F26" s="21"/>
      <c r="G26" s="11"/>
      <c r="H26" s="11"/>
    </row>
    <row customHeight="true" ht="16" r="27">
      <c r="A27" s="11"/>
      <c r="B27" s="11"/>
      <c r="C27" s="11"/>
      <c r="D27" s="21"/>
      <c r="E27" s="21"/>
      <c r="F27" s="21"/>
      <c r="G27" s="11"/>
      <c r="H27" s="11"/>
    </row>
    <row r="28">
      <c r="B28" s="11"/>
      <c r="C28" s="15" t="s">
        <v>35</v>
      </c>
      <c r="D28" s="70" t="s">
        <v>3</v>
      </c>
      <c r="E28" s="70" t="s">
        <v>36</v>
      </c>
      <c r="F28" s="70" t="s">
        <v>6</v>
      </c>
      <c r="G28" s="11"/>
    </row>
    <row r="29">
      <c r="B29" s="11"/>
      <c r="C29" s="71" t="s">
        <v>13</v>
      </c>
      <c r="D29" s="72">
        <f>SUMIF(D2:D25,"Huyền",C2:C25)</f>
      </c>
      <c r="E29" s="72">
        <f>SUMIF(D2:D25,"Huyền",E2:E25)</f>
      </c>
      <c r="F29" s="72">
        <f t="shared" ref="F29:F35" si="0">D29-E29</f>
      </c>
      <c r="G29" s="11"/>
    </row>
    <row r="30">
      <c r="B30" s="11"/>
      <c r="C30" s="70" t="s">
        <v>17</v>
      </c>
      <c r="D30" s="15">
        <f>SUMIF(D2:D25,"Hoa",C2:C25)</f>
      </c>
      <c r="E30" s="72">
        <f>SUMIF(D2:D25,"Hoa",E2:E25)</f>
      </c>
      <c r="F30" s="15">
        <f t="shared" si="0"/>
      </c>
      <c r="G30" s="11"/>
    </row>
    <row r="31">
      <c r="B31" s="11"/>
      <c r="C31" s="15" t="s">
        <v>20</v>
      </c>
      <c r="D31" s="73">
        <f>SUMIF(D2:D25,"Thúy",C2:C25)</f>
      </c>
      <c r="E31" s="72">
        <f>SUMIF(D2:D25,"Thúy",E2:E25)</f>
      </c>
      <c r="F31" s="15">
        <f t="shared" si="0"/>
      </c>
      <c r="G31" s="11"/>
    </row>
    <row r="32">
      <c r="B32" s="11"/>
      <c r="C32" s="70" t="s">
        <v>23</v>
      </c>
      <c r="D32" s="73">
        <f>SUMIF(D2:D25,"Khanh",C2:C25)</f>
      </c>
      <c r="E32" s="74">
        <f>SUMIF(D2:D25,"Khanh",E2:E25)</f>
      </c>
      <c r="F32" s="15">
        <f t="shared" si="0"/>
      </c>
      <c r="G32" s="11"/>
    </row>
    <row r="33">
      <c r="B33" s="11"/>
      <c r="C33" s="75" t="s">
        <v>25</v>
      </c>
      <c r="D33" s="76">
        <f>SUMIF(D2:D25,"Mai",C2:C25)</f>
      </c>
      <c r="E33" s="74">
        <f>SUMIF(D2:D25,"Mai",E2:E25)</f>
      </c>
      <c r="F33" s="15">
        <f t="shared" si="0"/>
      </c>
      <c r="G33" s="11"/>
    </row>
    <row r="34">
      <c r="B34" s="11"/>
      <c r="C34" s="70" t="s">
        <v>10</v>
      </c>
      <c r="D34" s="77">
        <f>SUMIF(D2:D25,"Ngân",C2:C25)</f>
      </c>
      <c r="E34" s="74">
        <f>SUMIF(D2:D25,"Ngân",E2:E25)</f>
      </c>
      <c r="F34" s="78">
        <f t="shared" si="0"/>
      </c>
      <c r="G34" s="11"/>
    </row>
    <row r="35">
      <c r="B35" s="11"/>
      <c r="C35" s="70" t="s">
        <v>11</v>
      </c>
      <c r="D35" s="15">
        <f>SUM(D29:D34)</f>
      </c>
      <c r="E35" s="15">
        <f>SUM(E29:E34)</f>
      </c>
      <c r="F35" s="78">
        <f t="shared" si="0"/>
      </c>
    </row>
    <row r="36">
      <c r="C36" s="11"/>
      <c r="D36" s="11"/>
      <c r="E36" s="11"/>
    </row>
  </sheetData>
  <mergeCells>
    <mergeCell ref="A18:B18"/>
    <mergeCell ref="A13:B13"/>
    <mergeCell ref="A20:B20"/>
    <mergeCell ref="A16:B16"/>
    <mergeCell ref="A11:B11"/>
    <mergeCell ref="A7:B7"/>
    <mergeCell ref="A3:B3"/>
    <mergeCell ref="A8:A10"/>
    <mergeCell ref="A14:A15"/>
    <mergeCell ref="A23:B23"/>
    <mergeCell ref="A25:B25"/>
    <mergeCell ref="B21:B22"/>
    <mergeCell ref="A21:A22"/>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 min="1" style="0" width="17"/>
    <col collapsed="false" customWidth="true" hidden="false" max="2" min="2" style="0" width="21"/>
    <col collapsed="false" customWidth="true" hidden="false" max="5" min="5" style="0" width="11"/>
    <col collapsed="false" customWidth="true" hidden="false" max="7" min="7" style="0" width="18"/>
    <col collapsed="false" customWidth="true" hidden="false" max="8" min="8" style="0" width="55"/>
  </cols>
  <sheetData>
    <row r="1">
      <c r="A1" s="79" t="s">
        <v>37</v>
      </c>
      <c r="B1" s="79" t="s">
        <v>38</v>
      </c>
      <c r="C1" s="80" t="s">
        <v>39</v>
      </c>
      <c r="D1" s="81" t="s">
        <v>40</v>
      </c>
      <c r="E1" s="82" t="s">
        <v>41</v>
      </c>
      <c r="F1" s="82" t="s">
        <v>42</v>
      </c>
      <c r="H1" s="83" t="s">
        <v>43</v>
      </c>
    </row>
    <row r="2">
      <c r="A2" s="84" t="s">
        <v>44</v>
      </c>
      <c r="B2" s="85" t="s">
        <v>45</v>
      </c>
      <c r="C2" s="84">
        <v>8</v>
      </c>
      <c r="D2" s="86" t="s">
        <v>46</v>
      </c>
      <c r="E2" s="87">
        <v>6</v>
      </c>
      <c r="F2" s="88">
        <f>C2-E2</f>
      </c>
      <c r="G2" s="89"/>
    </row>
    <row customHeight="true" ht="27" r="3">
      <c r="A3" s="90" t="s">
        <v>47</v>
      </c>
      <c r="B3" s="90"/>
      <c r="C3" s="91">
        <f>SUBTOTAL(9,C2)</f>
      </c>
      <c r="D3" s="92"/>
      <c r="E3" s="93"/>
      <c r="F3" s="91">
        <f>F2</f>
      </c>
      <c r="G3" s="89"/>
    </row>
    <row r="4">
      <c r="A4" s="94" t="s">
        <v>48</v>
      </c>
      <c r="B4" s="95" t="s">
        <v>45</v>
      </c>
      <c r="C4" s="96">
        <v>5</v>
      </c>
      <c r="D4" s="97" t="s">
        <v>49</v>
      </c>
      <c r="E4" s="97">
        <v>5</v>
      </c>
      <c r="F4" s="98">
        <f t="shared" ref="F4:F7" si="0">C4-E4</f>
      </c>
      <c r="G4" s="99"/>
      <c r="I4" s="100"/>
    </row>
    <row customHeight="true" ht="56" r="5">
      <c r="A5" s="101" t="s">
        <v>50</v>
      </c>
      <c r="B5" s="102" t="s">
        <v>45</v>
      </c>
      <c r="C5" s="96">
        <v>8</v>
      </c>
      <c r="D5" s="97" t="s">
        <v>51</v>
      </c>
      <c r="E5" s="97">
        <v>7</v>
      </c>
      <c r="F5" s="98">
        <f t="shared" si="0"/>
      </c>
      <c r="G5" s="103" t="s">
        <v>52</v>
      </c>
    </row>
    <row customHeight="true" ht="26" r="6">
      <c r="A6" s="104" t="s">
        <v>53</v>
      </c>
      <c r="B6" s="102" t="s">
        <v>54</v>
      </c>
      <c r="C6" s="96">
        <v>8</v>
      </c>
      <c r="D6" s="97" t="s">
        <v>49</v>
      </c>
      <c r="E6" s="97">
        <v>7</v>
      </c>
      <c r="F6" s="98">
        <f t="shared" si="0"/>
      </c>
      <c r="G6" s="89"/>
    </row>
    <row r="7">
      <c r="A7" s="104" t="s">
        <v>53</v>
      </c>
      <c r="B7" s="102" t="s">
        <v>55</v>
      </c>
      <c r="C7" s="96">
        <v>10</v>
      </c>
      <c r="D7" s="97" t="s">
        <v>56</v>
      </c>
      <c r="E7" s="97">
        <v>10</v>
      </c>
      <c r="F7" s="98">
        <f t="shared" si="0"/>
      </c>
      <c r="G7" s="103" t="s">
        <v>57</v>
      </c>
      <c r="H7" s="99" t="s">
        <v>58</v>
      </c>
    </row>
    <row customHeight="true" ht="16" r="8">
      <c r="A8" s="90" t="s">
        <v>47</v>
      </c>
      <c r="B8" s="90"/>
      <c r="C8" s="91">
        <f>SUBTOTAL(9,C4:C7)</f>
      </c>
      <c r="D8" s="92"/>
      <c r="E8" s="93"/>
      <c r="F8" s="91">
        <f>SUM(F4:F7)</f>
      </c>
      <c r="G8" s="89"/>
    </row>
    <row r="9">
      <c r="A9" s="105" t="s">
        <v>59</v>
      </c>
      <c r="B9" s="106" t="s">
        <v>45</v>
      </c>
      <c r="C9" s="107">
        <v>5</v>
      </c>
      <c r="D9" s="108" t="s">
        <v>56</v>
      </c>
      <c r="E9" s="108">
        <v>4</v>
      </c>
      <c r="F9" s="109">
        <f t="shared" ref="F9:F11" si="1">C9-E9</f>
      </c>
      <c r="G9" s="99" t="s">
        <v>60</v>
      </c>
    </row>
    <row r="10">
      <c r="A10" s="105"/>
      <c r="B10" s="106" t="s">
        <v>61</v>
      </c>
      <c r="C10" s="107">
        <v>5</v>
      </c>
      <c r="D10" s="108" t="s">
        <v>56</v>
      </c>
      <c r="E10" s="108">
        <v>3</v>
      </c>
      <c r="F10" s="109">
        <f t="shared" si="1"/>
      </c>
      <c r="G10" s="99" t="s">
        <v>62</v>
      </c>
    </row>
    <row r="11">
      <c r="A11" s="105"/>
      <c r="B11" s="106" t="s">
        <v>63</v>
      </c>
      <c r="C11" s="107">
        <v>5</v>
      </c>
      <c r="D11" s="108" t="s">
        <v>56</v>
      </c>
      <c r="E11" s="108">
        <v>4</v>
      </c>
      <c r="F11" s="109">
        <f t="shared" si="1"/>
      </c>
      <c r="G11" s="99" t="s">
        <v>64</v>
      </c>
    </row>
    <row customHeight="true" ht="16" r="12">
      <c r="A12" s="90" t="s">
        <v>47</v>
      </c>
      <c r="B12" s="90"/>
      <c r="C12" s="91">
        <f>SUBTOTAL(9,C9:C11)</f>
      </c>
      <c r="D12" s="92"/>
      <c r="E12" s="93"/>
      <c r="F12" s="91">
        <f>SUM(F9:F11)</f>
      </c>
      <c r="G12" s="89"/>
    </row>
    <row r="13">
      <c r="A13" s="110" t="s">
        <v>65</v>
      </c>
      <c r="B13" s="111" t="s">
        <v>45</v>
      </c>
      <c r="C13" s="112">
        <v>5</v>
      </c>
      <c r="D13" s="113" t="s">
        <v>66</v>
      </c>
      <c r="E13" s="113">
        <v>8</v>
      </c>
      <c r="F13" s="114">
        <f>C13-E13</f>
      </c>
      <c r="G13" s="99" t="s">
        <v>67</v>
      </c>
    </row>
    <row customHeight="true" ht="16" r="14">
      <c r="A14" s="90" t="s">
        <v>47</v>
      </c>
      <c r="B14" s="90"/>
      <c r="C14" s="91">
        <f>C13</f>
      </c>
      <c r="D14" s="115"/>
      <c r="E14" s="115"/>
      <c r="F14" s="91">
        <f>F13</f>
      </c>
      <c r="G14" s="89"/>
    </row>
    <row r="15">
      <c r="A15" s="116" t="s">
        <v>68</v>
      </c>
      <c r="B15" s="117" t="s">
        <v>45</v>
      </c>
      <c r="C15" s="118">
        <v>5</v>
      </c>
      <c r="D15" s="119" t="s">
        <v>49</v>
      </c>
      <c r="E15" s="119">
        <v>1</v>
      </c>
      <c r="F15" s="120">
        <f t="shared" ref="F15:F16" si="2">C15-E15</f>
      </c>
      <c r="G15" s="121" t="s">
        <v>69</v>
      </c>
    </row>
    <row customHeight="true" ht="16" r="16">
      <c r="A16" s="116"/>
      <c r="B16" s="117" t="s">
        <v>70</v>
      </c>
      <c r="C16" s="118">
        <v>5</v>
      </c>
      <c r="D16" s="119" t="s">
        <v>51</v>
      </c>
      <c r="E16" s="119">
        <v>1</v>
      </c>
      <c r="F16" s="120">
        <f t="shared" si="2"/>
      </c>
      <c r="G16" s="89"/>
    </row>
    <row customHeight="true" ht="16" r="17">
      <c r="A17" s="90" t="s">
        <v>47</v>
      </c>
      <c r="B17" s="90"/>
      <c r="C17" s="91">
        <f>SUBTOTAL(9,C15:C16)</f>
      </c>
      <c r="D17" s="115"/>
      <c r="E17" s="115"/>
      <c r="F17" s="122">
        <f>SUM(F15:F16)</f>
      </c>
      <c r="G17" s="89"/>
    </row>
    <row r="18">
      <c r="A18" s="123" t="s">
        <v>71</v>
      </c>
      <c r="B18" s="124" t="s">
        <v>72</v>
      </c>
      <c r="C18" s="125">
        <v>8</v>
      </c>
      <c r="D18" s="126" t="s">
        <v>73</v>
      </c>
      <c r="E18" s="126"/>
      <c r="F18" s="127">
        <f>C18-E18</f>
      </c>
      <c r="G18" s="89"/>
    </row>
    <row customHeight="true" ht="16" r="19">
      <c r="A19" s="90" t="s">
        <v>47</v>
      </c>
      <c r="B19" s="128"/>
      <c r="C19" s="129">
        <f>C18</f>
      </c>
      <c r="D19" s="115"/>
      <c r="E19" s="115"/>
      <c r="F19" s="130">
        <f>F18</f>
      </c>
      <c r="G19" s="100"/>
      <c r="H19" s="100"/>
      <c r="I19" s="100"/>
      <c r="J19" s="100"/>
      <c r="K19" s="100"/>
      <c r="L19" s="100"/>
      <c r="M19" s="100"/>
      <c r="N19" s="100"/>
      <c r="O19" s="100"/>
      <c r="P19" s="100"/>
      <c r="Q19" s="100"/>
      <c r="R19" s="100"/>
      <c r="S19" s="100"/>
      <c r="T19" s="100"/>
      <c r="U19" s="100"/>
    </row>
    <row customHeight="true" ht="32" r="20">
      <c r="A20" s="131" t="s">
        <v>74</v>
      </c>
      <c r="B20" s="132" t="s">
        <v>75</v>
      </c>
      <c r="C20" s="133">
        <v>10</v>
      </c>
      <c r="D20" s="134" t="s">
        <v>73</v>
      </c>
      <c r="E20" s="135"/>
      <c r="F20" s="136">
        <f>C20-E20</f>
      </c>
      <c r="G20" s="89"/>
      <c r="H20" s="89"/>
    </row>
    <row customHeight="true" ht="16" r="21">
      <c r="A21" s="137" t="s">
        <v>47</v>
      </c>
      <c r="B21" s="137"/>
      <c r="C21" s="138">
        <f>SUM(C20)</f>
      </c>
      <c r="D21" s="139"/>
      <c r="E21" s="140"/>
      <c r="F21" s="129">
        <f>SUM(F20)</f>
      </c>
      <c r="G21" s="89"/>
      <c r="H21" s="89"/>
    </row>
    <row customHeight="true" ht="16" r="22">
      <c r="A22" s="131" t="s">
        <v>76</v>
      </c>
      <c r="B22" s="141" t="s">
        <v>77</v>
      </c>
      <c r="C22" s="131">
        <v>2</v>
      </c>
      <c r="D22" s="142" t="s">
        <v>56</v>
      </c>
      <c r="E22" s="142">
        <v>1</v>
      </c>
      <c r="F22" s="131">
        <f t="shared" ref="F22:F23" si="3">C22-E22</f>
      </c>
      <c r="G22" s="99" t="s">
        <v>78</v>
      </c>
      <c r="H22" s="89"/>
    </row>
    <row customHeight="true" ht="16" r="23">
      <c r="A23" s="131"/>
      <c r="B23" s="141"/>
      <c r="C23" s="131">
        <v>3</v>
      </c>
      <c r="D23" s="142" t="s">
        <v>66</v>
      </c>
      <c r="E23" s="143"/>
      <c r="F23" s="131">
        <f t="shared" si="3"/>
      </c>
      <c r="G23" s="89"/>
      <c r="H23" s="89"/>
    </row>
    <row customHeight="true" ht="16" r="24">
      <c r="A24" s="137" t="s">
        <v>47</v>
      </c>
      <c r="B24" s="137"/>
      <c r="C24" s="129">
        <f>SUM(C22:C23)</f>
      </c>
      <c r="D24" s="137"/>
      <c r="E24" s="144"/>
      <c r="F24" s="129">
        <f>SUM(F22:F23)</f>
      </c>
      <c r="G24" s="89"/>
      <c r="H24" s="89"/>
    </row>
    <row customHeight="true" ht="16" r="25">
      <c r="A25" s="129" t="s">
        <v>79</v>
      </c>
      <c r="B25" s="145" t="s">
        <v>80</v>
      </c>
      <c r="C25" s="129">
        <v>15</v>
      </c>
      <c r="D25" s="137"/>
      <c r="E25" s="144"/>
      <c r="F25" s="129"/>
      <c r="G25" s="89"/>
      <c r="H25" s="89"/>
    </row>
    <row customHeight="true" ht="16" r="26">
      <c r="A26" s="146" t="s">
        <v>47</v>
      </c>
      <c r="B26" s="147"/>
      <c r="C26" s="147">
        <f>SUM(C3,C8,C12,C14,C17,C19,C25,C21,C24)</f>
      </c>
      <c r="D26" s="148"/>
      <c r="E26" s="149"/>
      <c r="F26" s="146">
        <f>C26-E26</f>
      </c>
      <c r="G26" s="89"/>
      <c r="H26" s="89"/>
    </row>
    <row customHeight="true" ht="16" r="27">
      <c r="A27" s="89"/>
      <c r="B27" s="89"/>
      <c r="C27" s="89"/>
      <c r="D27" s="99"/>
      <c r="E27" s="99"/>
      <c r="F27" s="99"/>
      <c r="G27" s="89"/>
      <c r="H27" s="89"/>
    </row>
    <row customHeight="true" ht="16" r="28">
      <c r="A28" s="89"/>
      <c r="B28" s="89"/>
      <c r="C28" s="89"/>
      <c r="D28" s="99"/>
      <c r="E28" s="99"/>
      <c r="F28" s="99"/>
      <c r="G28" s="89"/>
      <c r="H28" s="89"/>
    </row>
    <row r="29">
      <c r="B29" s="89"/>
      <c r="C29" s="93" t="s">
        <v>81</v>
      </c>
      <c r="D29" s="150" t="s">
        <v>39</v>
      </c>
      <c r="E29" s="150" t="s">
        <v>82</v>
      </c>
      <c r="F29" s="150" t="s">
        <v>42</v>
      </c>
      <c r="G29" s="89"/>
    </row>
    <row r="30">
      <c r="B30" s="89"/>
      <c r="C30" s="151" t="s">
        <v>56</v>
      </c>
      <c r="D30" s="152">
        <f>SUMIF(D2:D26,"Huyền",C2:C26)</f>
      </c>
      <c r="E30" s="152">
        <f>SUMIF(D2:D26,"Huyền",E2:E26)</f>
      </c>
      <c r="F30" s="152">
        <f t="shared" ref="F30:F36" si="4">D30-E30</f>
      </c>
      <c r="G30" s="89"/>
    </row>
    <row r="31">
      <c r="B31" s="89"/>
      <c r="C31" s="150" t="s">
        <v>49</v>
      </c>
      <c r="D31" s="93">
        <f>SUMIF(D2:D26,"Hoa",C2:C26)</f>
      </c>
      <c r="E31" s="152">
        <f>SUMIF(D2:D26,"Hoa",E2:E26)</f>
      </c>
      <c r="F31" s="93">
        <f t="shared" si="4"/>
      </c>
      <c r="G31" s="89"/>
    </row>
    <row r="32">
      <c r="B32" s="89"/>
      <c r="C32" s="93" t="s">
        <v>51</v>
      </c>
      <c r="D32" s="153">
        <f>SUMIF(D2:D26,"Thúy",C2:C26)</f>
      </c>
      <c r="E32" s="152">
        <f>SUMIF(D2:D26,"Thúy",E2:E26)</f>
      </c>
      <c r="F32" s="93">
        <f t="shared" si="4"/>
      </c>
      <c r="G32" s="89"/>
    </row>
    <row r="33">
      <c r="B33" s="89"/>
      <c r="C33" s="150" t="s">
        <v>73</v>
      </c>
      <c r="D33" s="153">
        <f>SUMIF(D2:D26,"Khanh",C2:C26)</f>
      </c>
      <c r="E33" s="154">
        <f>SUMIF(D2:D26,"Khanh",E2:E26)</f>
      </c>
      <c r="F33" s="93">
        <f t="shared" si="4"/>
      </c>
      <c r="G33" s="89"/>
    </row>
    <row r="34">
      <c r="B34" s="89"/>
      <c r="C34" s="155" t="s">
        <v>66</v>
      </c>
      <c r="D34" s="156">
        <f>SUMIF(D2:D26,"Mai",C2:C26)</f>
      </c>
      <c r="E34" s="154">
        <f>SUMIF(D2:D26,"Mai",E2:E26)</f>
      </c>
      <c r="F34" s="93">
        <f t="shared" si="4"/>
      </c>
      <c r="G34" s="89"/>
    </row>
    <row r="35">
      <c r="B35" s="89"/>
      <c r="C35" s="150" t="s">
        <v>46</v>
      </c>
      <c r="D35" s="157">
        <f>SUMIF(D2:D26,"Ngân",C2:C26)</f>
      </c>
      <c r="E35" s="158">
        <v>9</v>
      </c>
      <c r="F35" s="159">
        <f t="shared" si="4"/>
      </c>
      <c r="G35" s="89"/>
    </row>
    <row r="36">
      <c r="B36" s="89"/>
      <c r="C36" s="150" t="s">
        <v>47</v>
      </c>
      <c r="D36" s="93">
        <f>SUM(D30:D35)</f>
      </c>
      <c r="E36" s="93">
        <f>SUM(E30:E35)</f>
      </c>
      <c r="F36" s="159">
        <f t="shared" si="4"/>
      </c>
    </row>
    <row r="37">
      <c r="C37" s="89"/>
      <c r="D37" s="89"/>
      <c r="E37" s="89"/>
    </row>
  </sheetData>
  <mergeCells>
    <mergeCell ref="A21:B21"/>
    <mergeCell ref="A19:B19"/>
    <mergeCell ref="A14:B14"/>
    <mergeCell ref="A17:B17"/>
    <mergeCell ref="A12:B12"/>
    <mergeCell ref="A8:B8"/>
    <mergeCell ref="A9:A11"/>
    <mergeCell ref="A15:A16"/>
    <mergeCell ref="A3:B3"/>
    <mergeCell ref="A26:B26"/>
    <mergeCell ref="B22:B23"/>
    <mergeCell ref="A22:A23"/>
    <mergeCell ref="A24:B24"/>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 min="1" style="0" width="22"/>
    <col collapsed="false" customWidth="true" hidden="false" max="2" min="2" style="0" width="22"/>
    <col collapsed="false" customWidth="true" hidden="false" max="5" min="5" style="0" width="11"/>
    <col collapsed="false" customWidth="true" hidden="false" max="7" min="7" style="0" width="18"/>
    <col collapsed="false" customWidth="true" hidden="false" max="8" min="8" style="0" width="55"/>
  </cols>
  <sheetData>
    <row r="1">
      <c r="A1" s="160" t="s">
        <v>83</v>
      </c>
      <c r="B1" s="160" t="s">
        <v>84</v>
      </c>
      <c r="C1" s="161" t="s">
        <v>85</v>
      </c>
      <c r="D1" s="162" t="s">
        <v>86</v>
      </c>
      <c r="E1" s="163" t="s">
        <v>87</v>
      </c>
      <c r="F1" s="163" t="s">
        <v>88</v>
      </c>
      <c r="H1" s="164" t="s">
        <v>89</v>
      </c>
    </row>
    <row r="2">
      <c r="A2" s="165" t="s">
        <v>90</v>
      </c>
      <c r="B2" s="166" t="s">
        <v>91</v>
      </c>
      <c r="C2" s="165">
        <v>8</v>
      </c>
      <c r="D2" s="167" t="s">
        <v>92</v>
      </c>
      <c r="E2" s="167">
        <v>8</v>
      </c>
      <c r="F2" s="168">
        <f>C2-E2</f>
      </c>
      <c r="G2" s="169"/>
    </row>
    <row customHeight="true" ht="27" r="3">
      <c r="A3" s="170" t="s">
        <v>93</v>
      </c>
      <c r="B3" s="170"/>
      <c r="C3" s="171">
        <f>SUBTOTAL(9,C2)</f>
      </c>
      <c r="D3" s="172"/>
      <c r="E3" s="173"/>
      <c r="F3" s="171">
        <f>F2</f>
      </c>
      <c r="G3" s="169"/>
    </row>
    <row r="4">
      <c r="A4" s="174" t="s">
        <v>94</v>
      </c>
      <c r="B4" s="175" t="s">
        <v>95</v>
      </c>
      <c r="C4" s="176">
        <v>5</v>
      </c>
      <c r="D4" s="177" t="s">
        <v>96</v>
      </c>
      <c r="E4" s="177">
        <v>6</v>
      </c>
      <c r="F4" s="178">
        <f t="shared" ref="F4:F6" si="0">C4-E4</f>
      </c>
      <c r="G4" s="179"/>
      <c r="I4" s="180"/>
    </row>
    <row customHeight="true" ht="56" r="5">
      <c r="A5" s="174"/>
      <c r="B5" s="181" t="s">
        <v>97</v>
      </c>
      <c r="C5" s="176">
        <v>5</v>
      </c>
      <c r="D5" s="177" t="s">
        <v>98</v>
      </c>
      <c r="E5" s="177">
        <v>5</v>
      </c>
      <c r="F5" s="178">
        <f t="shared" si="0"/>
      </c>
      <c r="G5" s="182"/>
    </row>
    <row r="6">
      <c r="A6" s="174"/>
      <c r="B6" s="181" t="s">
        <v>99</v>
      </c>
      <c r="C6" s="176">
        <v>7</v>
      </c>
      <c r="D6" s="177" t="s">
        <v>98</v>
      </c>
      <c r="E6" s="177">
        <v>8</v>
      </c>
      <c r="F6" s="178">
        <f t="shared" si="0"/>
      </c>
      <c r="G6" s="169"/>
    </row>
    <row customHeight="true" ht="16" r="7">
      <c r="A7" s="170" t="s">
        <v>93</v>
      </c>
      <c r="B7" s="170"/>
      <c r="C7" s="171">
        <f>SUBTOTAL(9,C4:C6)</f>
      </c>
      <c r="D7" s="172"/>
      <c r="E7" s="173"/>
      <c r="F7" s="171">
        <f>SUM(F4:F6)</f>
      </c>
      <c r="G7" s="169"/>
    </row>
    <row r="8">
      <c r="A8" s="183" t="s">
        <v>100</v>
      </c>
      <c r="B8" s="184" t="s">
        <v>101</v>
      </c>
      <c r="C8" s="185">
        <v>5</v>
      </c>
      <c r="D8" s="186" t="s">
        <v>92</v>
      </c>
      <c r="E8" s="186">
        <v>3</v>
      </c>
      <c r="F8" s="187">
        <f>C8-E8</f>
      </c>
      <c r="G8" s="179"/>
    </row>
    <row r="9">
      <c r="A9" s="170" t="s">
        <v>93</v>
      </c>
      <c r="B9" s="170"/>
      <c r="C9" s="171">
        <f>SUBTOTAL(9,C8)</f>
      </c>
      <c r="D9" s="172"/>
      <c r="E9" s="173"/>
      <c r="F9" s="171">
        <f>SUM(F7:F8)</f>
      </c>
      <c r="G9" s="169"/>
    </row>
    <row customHeight="true" ht="27" r="10">
      <c r="A10" s="188" t="s">
        <v>102</v>
      </c>
      <c r="B10" s="189" t="s">
        <v>103</v>
      </c>
      <c r="C10" s="190">
        <v>5</v>
      </c>
      <c r="D10" s="191" t="s">
        <v>92</v>
      </c>
      <c r="E10" s="191">
        <v>0</v>
      </c>
      <c r="F10" s="192">
        <f>C10-E10</f>
      </c>
      <c r="G10" s="179" t="s">
        <v>104</v>
      </c>
    </row>
    <row customHeight="true" ht="27" r="11">
      <c r="A11" s="170" t="s">
        <v>93</v>
      </c>
      <c r="B11" s="170"/>
      <c r="C11" s="171">
        <f>SUBTOTAL(9,C10)</f>
      </c>
      <c r="D11" s="172"/>
      <c r="E11" s="173"/>
      <c r="F11" s="171">
        <f>SUM(F9:F10)</f>
      </c>
      <c r="G11" s="169"/>
    </row>
    <row r="12">
      <c r="A12" s="193" t="s">
        <v>105</v>
      </c>
      <c r="B12" s="194" t="s">
        <v>106</v>
      </c>
      <c r="C12" s="165">
        <v>5</v>
      </c>
      <c r="D12" s="167" t="s">
        <v>96</v>
      </c>
      <c r="E12" s="167">
        <v>2</v>
      </c>
      <c r="F12" s="168">
        <f>C12-E12</f>
      </c>
      <c r="G12" s="179"/>
    </row>
    <row customHeight="true" ht="16" r="13">
      <c r="A13" s="170" t="s">
        <v>93</v>
      </c>
      <c r="B13" s="170"/>
      <c r="C13" s="171">
        <f>SUBTOTAL(9,C12)</f>
      </c>
      <c r="D13" s="172"/>
      <c r="E13" s="173"/>
      <c r="F13" s="171">
        <f>SUM(F8:F12)</f>
      </c>
      <c r="G13" s="169"/>
    </row>
    <row r="14">
      <c r="A14" s="195" t="s">
        <v>107</v>
      </c>
      <c r="B14" s="196" t="s">
        <v>108</v>
      </c>
      <c r="C14" s="197">
        <v>5</v>
      </c>
      <c r="D14" s="198" t="s">
        <v>92</v>
      </c>
      <c r="E14" s="198">
        <v>2</v>
      </c>
      <c r="F14" s="199">
        <f>C14-E14</f>
      </c>
      <c r="G14" s="179"/>
    </row>
    <row customHeight="true" ht="16" r="15">
      <c r="A15" s="170" t="s">
        <v>93</v>
      </c>
      <c r="B15" s="170"/>
      <c r="C15" s="171">
        <f>C14</f>
      </c>
      <c r="D15" s="200"/>
      <c r="E15" s="200"/>
      <c r="F15" s="171">
        <f>F14</f>
      </c>
      <c r="G15" s="169"/>
    </row>
    <row r="16">
      <c r="A16" s="201" t="s">
        <v>109</v>
      </c>
      <c r="B16" s="202" t="s">
        <v>110</v>
      </c>
      <c r="C16" s="190">
        <v>5</v>
      </c>
      <c r="D16" s="191" t="s">
        <v>111</v>
      </c>
      <c r="E16" s="191">
        <v>1</v>
      </c>
      <c r="F16" s="192">
        <f>C16-E16</f>
      </c>
      <c r="G16" s="169"/>
    </row>
    <row customHeight="true" ht="16" r="17">
      <c r="A17" s="170" t="s">
        <v>93</v>
      </c>
      <c r="B17" s="170"/>
      <c r="C17" s="171">
        <f>SUBTOTAL(9,C16)</f>
      </c>
      <c r="D17" s="200"/>
      <c r="E17" s="200"/>
      <c r="F17" s="203">
        <f>SUM(F16)</f>
      </c>
      <c r="G17" s="169"/>
    </row>
    <row r="18">
      <c r="A18" s="204" t="s">
        <v>112</v>
      </c>
      <c r="B18" s="205" t="s">
        <v>95</v>
      </c>
      <c r="C18" s="206">
        <v>8</v>
      </c>
      <c r="D18" s="207" t="s">
        <v>113</v>
      </c>
      <c r="E18" s="208">
        <v>2</v>
      </c>
      <c r="F18" s="209">
        <f>C18-E18</f>
      </c>
      <c r="G18" s="169"/>
    </row>
    <row customHeight="true" ht="16" r="19">
      <c r="A19" s="170" t="s">
        <v>93</v>
      </c>
      <c r="B19" s="210"/>
      <c r="C19" s="211">
        <f>C18</f>
      </c>
      <c r="D19" s="200"/>
      <c r="E19" s="200"/>
      <c r="F19" s="212">
        <f>F18</f>
      </c>
      <c r="G19" s="180"/>
      <c r="H19" s="180"/>
      <c r="I19" s="180"/>
      <c r="J19" s="180"/>
      <c r="K19" s="180"/>
      <c r="L19" s="180"/>
      <c r="M19" s="180"/>
      <c r="N19" s="180"/>
      <c r="O19" s="180"/>
      <c r="P19" s="180"/>
      <c r="Q19" s="180"/>
      <c r="R19" s="180"/>
      <c r="S19" s="180"/>
      <c r="T19" s="180"/>
      <c r="U19" s="180"/>
    </row>
    <row customHeight="true" ht="32" r="20">
      <c r="A20" s="213" t="s">
        <v>114</v>
      </c>
      <c r="B20" s="214" t="s">
        <v>115</v>
      </c>
      <c r="C20" s="215">
        <v>5</v>
      </c>
      <c r="D20" s="216" t="s">
        <v>111</v>
      </c>
      <c r="E20" s="216">
        <v>0</v>
      </c>
      <c r="F20" s="217">
        <f>C20-E20</f>
      </c>
      <c r="G20" s="169"/>
      <c r="H20" s="169"/>
    </row>
    <row customHeight="true" ht="16" r="21">
      <c r="A21" s="218" t="s">
        <v>93</v>
      </c>
      <c r="B21" s="218"/>
      <c r="C21" s="219">
        <f>SUM(C20)</f>
      </c>
      <c r="D21" s="220"/>
      <c r="E21" s="221"/>
      <c r="F21" s="211">
        <f>SUM(F20)</f>
      </c>
      <c r="G21" s="169"/>
      <c r="H21" s="169"/>
    </row>
    <row r="22">
      <c r="A22" s="204" t="s">
        <v>116</v>
      </c>
      <c r="B22" s="222" t="s">
        <v>117</v>
      </c>
      <c r="C22" s="204">
        <v>3</v>
      </c>
      <c r="D22" s="223" t="s">
        <v>111</v>
      </c>
      <c r="E22" s="223">
        <v>3</v>
      </c>
      <c r="F22" s="204">
        <f t="shared" ref="F22:F23" si="1">C22-E22</f>
      </c>
      <c r="G22" s="179"/>
      <c r="H22" s="169"/>
    </row>
    <row customHeight="true" ht="16" r="23">
      <c r="A23" s="204"/>
      <c r="B23" s="222"/>
      <c r="C23" s="204">
        <v>4</v>
      </c>
      <c r="D23" s="223" t="s">
        <v>96</v>
      </c>
      <c r="E23" s="223">
        <v>4</v>
      </c>
      <c r="F23" s="204">
        <f t="shared" si="1"/>
      </c>
      <c r="G23" s="179"/>
      <c r="H23" s="169"/>
    </row>
    <row customHeight="true" ht="32" r="24">
      <c r="A24" s="218" t="s">
        <v>93</v>
      </c>
      <c r="B24" s="218"/>
      <c r="C24" s="211">
        <f>SUM(C22,C23)</f>
      </c>
      <c r="D24" s="218"/>
      <c r="E24" s="224"/>
      <c r="F24" s="211">
        <f>SUM(F20:F22)</f>
      </c>
      <c r="G24" s="169"/>
      <c r="H24" s="169"/>
    </row>
    <row r="25">
      <c r="A25" s="225" t="s">
        <v>118</v>
      </c>
      <c r="B25" s="226" t="s">
        <v>119</v>
      </c>
      <c r="C25" s="176">
        <v>5</v>
      </c>
      <c r="D25" s="177" t="s">
        <v>120</v>
      </c>
      <c r="E25" s="177">
        <v>2</v>
      </c>
      <c r="F25" s="176">
        <f>C25-E25</f>
      </c>
      <c r="G25" s="169"/>
      <c r="H25" s="169"/>
    </row>
    <row customHeight="true" ht="16" r="26">
      <c r="A26" s="218" t="s">
        <v>93</v>
      </c>
      <c r="B26" s="218"/>
      <c r="C26" s="211">
        <f>SUM(C25)</f>
      </c>
      <c r="D26" s="218"/>
      <c r="E26" s="224"/>
      <c r="F26" s="211">
        <f>SUM(F22:F25)</f>
      </c>
      <c r="G26" s="169"/>
      <c r="H26" s="169"/>
    </row>
    <row customHeight="true" ht="16" r="27">
      <c r="A27" s="227" t="s">
        <v>121</v>
      </c>
      <c r="B27" s="228" t="s">
        <v>122</v>
      </c>
      <c r="C27" s="185">
        <v>5</v>
      </c>
      <c r="D27" s="186" t="s">
        <v>92</v>
      </c>
      <c r="E27" s="186">
        <v>4</v>
      </c>
      <c r="F27" s="185">
        <f>C27-E27</f>
      </c>
      <c r="G27" s="169"/>
      <c r="H27" s="169"/>
    </row>
    <row customHeight="true" ht="16" r="28">
      <c r="A28" s="218" t="s">
        <v>93</v>
      </c>
      <c r="B28" s="218"/>
      <c r="C28" s="211">
        <f>SUM(C27)</f>
      </c>
      <c r="D28" s="218"/>
      <c r="E28" s="224"/>
      <c r="F28" s="211">
        <f>SUM(F25:F27)</f>
      </c>
      <c r="G28" s="169"/>
      <c r="H28" s="169"/>
    </row>
    <row r="29">
      <c r="A29" s="229" t="s">
        <v>123</v>
      </c>
      <c r="B29" s="211" t="s">
        <v>124</v>
      </c>
      <c r="C29" s="211">
        <v>15</v>
      </c>
      <c r="D29" s="218"/>
      <c r="E29" s="224"/>
      <c r="F29" s="211"/>
      <c r="G29" s="169"/>
      <c r="H29" s="169"/>
    </row>
    <row customHeight="true" ht="16" r="30">
      <c r="A30" s="230" t="s">
        <v>93</v>
      </c>
      <c r="B30" s="231"/>
      <c r="C30" s="231">
        <f>SUM(C3,C7,C13,C15,C17,C19,C29,C21,C26,C9,C24,C28,C11)</f>
      </c>
      <c r="D30" s="232"/>
      <c r="E30" s="233"/>
      <c r="F30" s="230">
        <f>C30-E30</f>
      </c>
      <c r="G30" s="169"/>
      <c r="H30" s="169"/>
    </row>
    <row customHeight="true" ht="16" r="31">
      <c r="A31" s="169"/>
      <c r="B31" s="169"/>
      <c r="C31" s="169"/>
      <c r="D31" s="179"/>
      <c r="E31" s="179"/>
      <c r="F31" s="179"/>
      <c r="G31" s="169"/>
      <c r="H31" s="169"/>
    </row>
    <row customHeight="true" ht="16" r="32">
      <c r="A32" s="169"/>
      <c r="B32" s="169"/>
      <c r="C32" s="169"/>
      <c r="D32" s="179"/>
      <c r="E32" s="179"/>
      <c r="F32" s="179"/>
      <c r="G32" s="169"/>
      <c r="H32" s="169"/>
    </row>
    <row r="33">
      <c r="B33" s="169"/>
      <c r="C33" s="173" t="s">
        <v>125</v>
      </c>
      <c r="D33" s="234" t="s">
        <v>85</v>
      </c>
      <c r="E33" s="234" t="s">
        <v>126</v>
      </c>
      <c r="F33" s="234" t="s">
        <v>88</v>
      </c>
      <c r="G33" s="169"/>
    </row>
    <row r="34">
      <c r="B34" s="169"/>
      <c r="C34" s="235" t="s">
        <v>92</v>
      </c>
      <c r="D34" s="236">
        <f>SUMIF(D2:D30,"Huyền",C2:C30)</f>
      </c>
      <c r="E34" s="236">
        <f>SUMIF(D2:D30,"Huyền",E2:E30)</f>
      </c>
      <c r="F34" s="236">
        <f t="shared" ref="F34:F40" si="2">D34-E34</f>
      </c>
      <c r="G34" s="169"/>
    </row>
    <row r="35">
      <c r="B35" s="169"/>
      <c r="C35" s="234" t="s">
        <v>98</v>
      </c>
      <c r="D35" s="173">
        <f>SUMIF(D2:D30,"Hoa",C2:C30)</f>
      </c>
      <c r="E35" s="236">
        <f>SUMIF(D2:D30,"Hoa",E2:E30)</f>
      </c>
      <c r="F35" s="173">
        <f t="shared" si="2"/>
      </c>
      <c r="G35" s="169"/>
    </row>
    <row r="36">
      <c r="B36" s="169"/>
      <c r="C36" s="173" t="s">
        <v>96</v>
      </c>
      <c r="D36" s="237">
        <f>SUMIF(D2:D30,"Thúy",C2:C30)</f>
      </c>
      <c r="E36" s="236">
        <f>SUMIF(D2:D30,"Thúy",E2:E30)</f>
      </c>
      <c r="F36" s="173">
        <f t="shared" si="2"/>
      </c>
      <c r="G36" s="169"/>
    </row>
    <row r="37">
      <c r="B37" s="169"/>
      <c r="C37" s="234" t="s">
        <v>111</v>
      </c>
      <c r="D37" s="237">
        <f>SUMIF(D2:D30,"Khanh",C2:C30)</f>
      </c>
      <c r="E37" s="238">
        <f>SUMIF(D2:D30,"Khanh",E2:E30)</f>
      </c>
      <c r="F37" s="173">
        <f t="shared" si="2"/>
      </c>
      <c r="G37" s="169"/>
    </row>
    <row r="38">
      <c r="B38" s="169"/>
      <c r="C38" s="239" t="s">
        <v>120</v>
      </c>
      <c r="D38" s="240">
        <f>SUMIF(D2:D30,"Mai",C2:C30)</f>
      </c>
      <c r="E38" s="238">
        <f>SUMIF(D2:D30,"Mai",E2:E30)</f>
      </c>
      <c r="F38" s="173">
        <f t="shared" si="2"/>
      </c>
      <c r="G38" s="169"/>
    </row>
    <row r="39">
      <c r="B39" s="169"/>
      <c r="C39" s="234" t="s">
        <v>113</v>
      </c>
      <c r="D39" s="241">
        <f>SUMIF(D2:D30,"Ngân",C2:C30)</f>
      </c>
      <c r="E39" s="238">
        <f>SUMIF(D2:D30,"Ngân",E2:E30)</f>
      </c>
      <c r="F39" s="242">
        <f t="shared" si="2"/>
      </c>
      <c r="G39" s="169"/>
    </row>
    <row r="40">
      <c r="B40" s="169"/>
      <c r="C40" s="234" t="s">
        <v>93</v>
      </c>
      <c r="D40" s="173">
        <f>SUM(D34:D39)</f>
      </c>
      <c r="E40" s="173">
        <f>SUM(E34:E39)</f>
      </c>
      <c r="F40" s="242">
        <f t="shared" si="2"/>
      </c>
    </row>
    <row r="41">
      <c r="C41" s="169"/>
      <c r="D41" s="169"/>
      <c r="E41" s="169"/>
    </row>
  </sheetData>
  <mergeCells>
    <mergeCell ref="A9:B9"/>
    <mergeCell ref="A7:B7"/>
    <mergeCell ref="A3:B3"/>
    <mergeCell ref="A4:A6"/>
    <mergeCell ref="B22:B23"/>
    <mergeCell ref="A22:A23"/>
    <mergeCell ref="A24:B24"/>
    <mergeCell ref="A26:B26"/>
    <mergeCell ref="A30:B30"/>
    <mergeCell ref="A28:B28"/>
    <mergeCell ref="A13:B13"/>
    <mergeCell ref="A17:B17"/>
    <mergeCell ref="A15:B15"/>
    <mergeCell ref="A19:B19"/>
    <mergeCell ref="A21:B21"/>
    <mergeCell ref="A11:B11"/>
  </mergeCell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 min="1" style="0" width="22"/>
    <col collapsed="false" customWidth="true" hidden="false" max="2" min="2" style="0" width="25"/>
    <col collapsed="false" customWidth="true" hidden="false" max="5" min="5" style="0" width="11"/>
    <col collapsed="false" customWidth="true" hidden="false" max="7" min="7" style="0" width="18"/>
    <col collapsed="false" customWidth="true" hidden="false" max="8" min="8" style="0" width="55"/>
  </cols>
  <sheetData>
    <row r="1">
      <c r="A1" s="243" t="s">
        <v>127</v>
      </c>
      <c r="B1" s="243" t="s">
        <v>128</v>
      </c>
      <c r="C1" s="244" t="s">
        <v>129</v>
      </c>
      <c r="D1" s="245" t="s">
        <v>130</v>
      </c>
      <c r="E1" s="246" t="s">
        <v>131</v>
      </c>
      <c r="F1" s="246" t="s">
        <v>132</v>
      </c>
      <c r="H1" s="247" t="s">
        <v>133</v>
      </c>
    </row>
    <row r="2">
      <c r="A2" s="248" t="s">
        <v>134</v>
      </c>
      <c r="B2" s="249" t="s">
        <v>135</v>
      </c>
      <c r="C2" s="248">
        <v>5</v>
      </c>
      <c r="D2" s="250" t="s">
        <v>136</v>
      </c>
      <c r="E2" s="251">
        <v>5</v>
      </c>
      <c r="F2" s="252">
        <f>C2-E2</f>
      </c>
      <c r="G2" s="253"/>
    </row>
    <row customHeight="true" ht="27" r="3">
      <c r="A3" s="254" t="s">
        <v>137</v>
      </c>
      <c r="B3" s="254"/>
      <c r="C3" s="255">
        <f>SUBTOTAL(9,C2)</f>
      </c>
      <c r="D3" s="256"/>
      <c r="E3" s="257"/>
      <c r="F3" s="255">
        <f>F2</f>
      </c>
      <c r="G3" s="253"/>
    </row>
    <row r="4">
      <c r="A4" s="258" t="s">
        <v>138</v>
      </c>
      <c r="B4" s="259" t="s">
        <v>139</v>
      </c>
      <c r="C4" s="260">
        <v>5</v>
      </c>
      <c r="D4" s="261" t="s">
        <v>140</v>
      </c>
      <c r="E4" s="262">
        <v>5</v>
      </c>
      <c r="F4" s="263">
        <f t="shared" ref="F4:F6" si="0">C4-E4</f>
      </c>
      <c r="G4" s="264"/>
      <c r="I4" s="265"/>
    </row>
    <row customHeight="true" ht="56" r="5">
      <c r="A5" s="258"/>
      <c r="B5" s="259"/>
      <c r="C5" s="260">
        <v>5</v>
      </c>
      <c r="D5" s="261" t="s">
        <v>141</v>
      </c>
      <c r="E5" s="262">
        <v>0</v>
      </c>
      <c r="F5" s="263">
        <f t="shared" si="0"/>
      </c>
      <c r="G5" s="266"/>
    </row>
    <row r="6">
      <c r="A6" s="258"/>
      <c r="B6" s="259"/>
      <c r="C6" s="260">
        <v>5</v>
      </c>
      <c r="D6" s="261" t="s">
        <v>142</v>
      </c>
      <c r="E6" s="262">
        <v>5</v>
      </c>
      <c r="F6" s="263">
        <f t="shared" si="0"/>
      </c>
      <c r="G6" s="253"/>
    </row>
    <row customHeight="true" ht="16" r="7">
      <c r="A7" s="254" t="s">
        <v>137</v>
      </c>
      <c r="B7" s="254"/>
      <c r="C7" s="255">
        <f>SUBTOTAL(9,C4:C6)</f>
      </c>
      <c r="D7" s="256"/>
      <c r="E7" s="257"/>
      <c r="F7" s="255">
        <f>SUM(F4:F6)</f>
      </c>
      <c r="G7" s="253"/>
    </row>
    <row r="8">
      <c r="A8" s="267" t="s">
        <v>143</v>
      </c>
      <c r="B8" s="268" t="s">
        <v>144</v>
      </c>
      <c r="C8" s="269">
        <v>2</v>
      </c>
      <c r="D8" s="270" t="s">
        <v>136</v>
      </c>
      <c r="E8" s="271">
        <v>2</v>
      </c>
      <c r="F8" s="272">
        <f t="shared" ref="F8:F9" si="1">C8-E8</f>
      </c>
      <c r="G8" s="264"/>
    </row>
    <row customHeight="true" ht="16" r="9">
      <c r="A9" s="267"/>
      <c r="B9" s="268"/>
      <c r="C9" s="269">
        <v>3</v>
      </c>
      <c r="D9" s="270" t="s">
        <v>145</v>
      </c>
      <c r="E9" s="271">
        <v>3</v>
      </c>
      <c r="F9" s="272">
        <f t="shared" si="1"/>
      </c>
      <c r="G9" s="253"/>
    </row>
    <row r="10">
      <c r="A10" s="254" t="s">
        <v>137</v>
      </c>
      <c r="B10" s="254"/>
      <c r="C10" s="255">
        <f>SUBTOTAL(9,C8:C9)</f>
      </c>
      <c r="D10" s="256"/>
      <c r="E10" s="257"/>
      <c r="F10" s="255">
        <f>SUM(F8:F9)</f>
      </c>
      <c r="G10" s="253"/>
    </row>
    <row customHeight="true" ht="27" r="11">
      <c r="A11" s="273" t="s">
        <v>146</v>
      </c>
      <c r="B11" s="274" t="s">
        <v>147</v>
      </c>
      <c r="C11" s="275">
        <v>5</v>
      </c>
      <c r="D11" s="276" t="s">
        <v>148</v>
      </c>
      <c r="E11" s="277">
        <v>0</v>
      </c>
      <c r="F11" s="278">
        <f>C11-E11</f>
      </c>
      <c r="G11" s="253"/>
    </row>
    <row customHeight="true" ht="27" r="12">
      <c r="A12" s="254" t="s">
        <v>137</v>
      </c>
      <c r="B12" s="254"/>
      <c r="C12" s="255">
        <f>SUBTOTAL(9,C11)</f>
      </c>
      <c r="D12" s="256"/>
      <c r="E12" s="257"/>
      <c r="F12" s="255">
        <f>SUM(F11)</f>
      </c>
      <c r="G12" s="253"/>
    </row>
    <row customHeight="true" hidden="true" ht="16" r="13">
      <c r="A13" s="279" t="s">
        <v>149</v>
      </c>
      <c r="B13" s="280" t="s">
        <v>150</v>
      </c>
      <c r="C13" s="248"/>
      <c r="D13" s="250"/>
      <c r="E13" s="250"/>
      <c r="F13" s="252">
        <f>C13-E13</f>
      </c>
      <c r="G13" s="264"/>
    </row>
    <row customHeight="true" hidden="true" ht="16" r="14">
      <c r="A14" s="254" t="s">
        <v>137</v>
      </c>
      <c r="B14" s="254"/>
      <c r="C14" s="255">
        <f>SUBTOTAL(9,C13)</f>
      </c>
      <c r="D14" s="256"/>
      <c r="E14" s="257"/>
      <c r="F14" s="255">
        <f>SUM(F13)</f>
      </c>
      <c r="G14" s="253"/>
    </row>
    <row r="15">
      <c r="A15" s="281" t="s">
        <v>151</v>
      </c>
      <c r="B15" s="282" t="s">
        <v>152</v>
      </c>
      <c r="C15" s="283">
        <v>5</v>
      </c>
      <c r="D15" s="284" t="s">
        <v>145</v>
      </c>
      <c r="E15" s="285">
        <v>5</v>
      </c>
      <c r="F15" s="286">
        <f>C15-E15</f>
      </c>
      <c r="G15" s="264"/>
    </row>
    <row customHeight="true" ht="16" r="16">
      <c r="A16" s="254" t="s">
        <v>137</v>
      </c>
      <c r="B16" s="254"/>
      <c r="C16" s="255">
        <f>C15</f>
      </c>
      <c r="D16" s="287"/>
      <c r="E16" s="287"/>
      <c r="F16" s="255">
        <f>F15</f>
      </c>
      <c r="G16" s="253"/>
    </row>
    <row r="17">
      <c r="A17" s="288" t="s">
        <v>153</v>
      </c>
      <c r="B17" s="289" t="s">
        <v>154</v>
      </c>
      <c r="C17" s="275">
        <v>5</v>
      </c>
      <c r="D17" s="276" t="s">
        <v>145</v>
      </c>
      <c r="E17" s="277">
        <v>3</v>
      </c>
      <c r="F17" s="278">
        <f>C17-E17</f>
      </c>
      <c r="G17" s="253"/>
    </row>
    <row customHeight="true" ht="16" r="18">
      <c r="A18" s="254" t="s">
        <v>137</v>
      </c>
      <c r="B18" s="254"/>
      <c r="C18" s="255">
        <f>SUBTOTAL(9,C17)</f>
      </c>
      <c r="D18" s="287"/>
      <c r="E18" s="287"/>
      <c r="F18" s="290">
        <f>SUM(F17)</f>
      </c>
      <c r="G18" s="253"/>
    </row>
    <row customHeight="true" hidden="true" ht="16" r="19">
      <c r="A19" s="291" t="s">
        <v>155</v>
      </c>
      <c r="B19" s="292" t="s">
        <v>156</v>
      </c>
      <c r="C19" s="293"/>
      <c r="D19" s="294"/>
      <c r="E19" s="294"/>
      <c r="F19" s="295">
        <f>C19-E19</f>
      </c>
      <c r="G19" s="253"/>
    </row>
    <row customHeight="true" hidden="true" ht="16" r="20">
      <c r="A20" s="254" t="s">
        <v>137</v>
      </c>
      <c r="B20" s="296"/>
      <c r="C20" s="297">
        <f>C19</f>
      </c>
      <c r="D20" s="287"/>
      <c r="E20" s="287"/>
      <c r="F20" s="298">
        <f>F19</f>
      </c>
      <c r="G20" s="265"/>
      <c r="H20" s="265"/>
      <c r="I20" s="265"/>
      <c r="J20" s="265"/>
      <c r="K20" s="265"/>
      <c r="L20" s="265"/>
      <c r="M20" s="265"/>
      <c r="N20" s="265"/>
      <c r="O20" s="265"/>
      <c r="P20" s="265"/>
      <c r="Q20" s="265"/>
      <c r="R20" s="265"/>
      <c r="S20" s="265"/>
      <c r="T20" s="265"/>
      <c r="U20" s="265"/>
    </row>
    <row customHeight="true" hidden="true" ht="32" r="21">
      <c r="A21" s="299" t="s">
        <v>157</v>
      </c>
      <c r="B21" s="300" t="s">
        <v>158</v>
      </c>
      <c r="C21" s="301"/>
      <c r="D21" s="302"/>
      <c r="E21" s="303"/>
      <c r="F21" s="304">
        <f>C21-E21</f>
      </c>
      <c r="G21" s="253"/>
      <c r="H21" s="253"/>
    </row>
    <row customHeight="true" hidden="true" ht="16" r="22">
      <c r="A22" s="305" t="s">
        <v>137</v>
      </c>
      <c r="B22" s="305"/>
      <c r="C22" s="306">
        <f>SUM(C21)</f>
      </c>
      <c r="D22" s="307"/>
      <c r="E22" s="308"/>
      <c r="F22" s="297">
        <f>SUM(F21)</f>
      </c>
      <c r="G22" s="253"/>
      <c r="H22" s="253"/>
    </row>
    <row r="23">
      <c r="A23" s="291" t="s">
        <v>159</v>
      </c>
      <c r="B23" s="309" t="s">
        <v>160</v>
      </c>
      <c r="C23" s="291">
        <v>5</v>
      </c>
      <c r="D23" s="310" t="s">
        <v>140</v>
      </c>
      <c r="E23" s="311">
        <v>5</v>
      </c>
      <c r="F23" s="291">
        <f t="shared" ref="F23:F24" si="2">C23-E23</f>
      </c>
      <c r="G23" s="264"/>
      <c r="H23" s="253"/>
    </row>
    <row customHeight="true" hidden="true" ht="16" r="24">
      <c r="A24" s="291"/>
      <c r="B24" s="309"/>
      <c r="C24" s="291"/>
      <c r="D24" s="310"/>
      <c r="E24" s="310"/>
      <c r="F24" s="291">
        <f t="shared" si="2"/>
      </c>
      <c r="G24" s="264"/>
      <c r="H24" s="253"/>
    </row>
    <row customHeight="true" hidden="true" ht="32" r="25">
      <c r="A25" s="305" t="s">
        <v>137</v>
      </c>
      <c r="B25" s="305"/>
      <c r="C25" s="297">
        <f>SUM(C23,C24)</f>
      </c>
      <c r="D25" s="305"/>
      <c r="E25" s="312"/>
      <c r="F25" s="297">
        <f>F23</f>
      </c>
      <c r="G25" s="253"/>
      <c r="H25" s="253"/>
    </row>
    <row customHeight="true" hidden="true" ht="16" r="26">
      <c r="A26" s="313"/>
      <c r="B26" s="314"/>
      <c r="C26" s="260"/>
      <c r="D26" s="261"/>
      <c r="E26" s="315"/>
      <c r="F26" s="260"/>
      <c r="G26" s="253"/>
      <c r="H26" s="253"/>
    </row>
    <row customHeight="true" hidden="true" ht="16" r="27">
      <c r="A27" s="305" t="s">
        <v>137</v>
      </c>
      <c r="B27" s="305"/>
      <c r="C27" s="297">
        <f>SUM(C26)</f>
      </c>
      <c r="D27" s="305"/>
      <c r="E27" s="312"/>
      <c r="F27" s="297">
        <f>C27-E27</f>
      </c>
      <c r="G27" s="253"/>
      <c r="H27" s="253"/>
    </row>
    <row customHeight="true" hidden="true" ht="16" r="28">
      <c r="A28" s="316"/>
      <c r="B28" s="317"/>
      <c r="C28" s="269"/>
      <c r="D28" s="270"/>
      <c r="E28" s="318"/>
      <c r="F28" s="269"/>
      <c r="G28" s="253"/>
      <c r="H28" s="253"/>
    </row>
    <row customHeight="true" hidden="true" ht="16" r="29">
      <c r="A29" s="305" t="s">
        <v>137</v>
      </c>
      <c r="B29" s="305"/>
      <c r="C29" s="297">
        <f>SUM(C28)</f>
      </c>
      <c r="D29" s="305"/>
      <c r="E29" s="312"/>
      <c r="F29" s="297">
        <f>C29-E29</f>
      </c>
      <c r="G29" s="253"/>
      <c r="H29" s="253"/>
    </row>
    <row r="30">
      <c r="A30" s="319" t="s">
        <v>161</v>
      </c>
      <c r="B30" s="320" t="s">
        <v>162</v>
      </c>
      <c r="C30" s="297">
        <v>15</v>
      </c>
      <c r="D30" s="305"/>
      <c r="E30" s="312"/>
      <c r="F30" s="297"/>
      <c r="G30" s="253"/>
      <c r="H30" s="253"/>
    </row>
    <row customHeight="true" ht="16" r="31">
      <c r="A31" s="321" t="s">
        <v>137</v>
      </c>
      <c r="B31" s="322"/>
      <c r="C31" s="322">
        <f>SUM(C3,C7,C14,C16,C18,C20,C30,C22,C27,C10,C25,C29,C12)</f>
      </c>
      <c r="D31" s="323"/>
      <c r="E31" s="324"/>
      <c r="F31" s="321">
        <f>C31-E31</f>
      </c>
      <c r="G31" s="253"/>
      <c r="H31" s="253"/>
    </row>
    <row customHeight="true" ht="16" r="32">
      <c r="A32" s="253"/>
      <c r="B32" s="253"/>
      <c r="C32" s="253"/>
      <c r="D32" s="264"/>
      <c r="E32" s="264"/>
      <c r="F32" s="264"/>
      <c r="G32" s="253"/>
      <c r="H32" s="253"/>
    </row>
    <row customHeight="true" ht="16" r="33">
      <c r="A33" s="253"/>
      <c r="B33" s="253"/>
      <c r="C33" s="253"/>
      <c r="D33" s="264"/>
      <c r="E33" s="264"/>
      <c r="F33" s="264"/>
      <c r="G33" s="253"/>
      <c r="H33" s="253"/>
    </row>
    <row r="34">
      <c r="B34" s="253"/>
      <c r="C34" s="257" t="s">
        <v>163</v>
      </c>
      <c r="D34" s="325" t="s">
        <v>129</v>
      </c>
      <c r="E34" s="325" t="s">
        <v>164</v>
      </c>
      <c r="F34" s="325" t="s">
        <v>132</v>
      </c>
      <c r="G34" s="253"/>
    </row>
    <row r="35">
      <c r="B35" s="253"/>
      <c r="C35" s="326" t="s">
        <v>145</v>
      </c>
      <c r="D35" s="327">
        <f>SUMIF(D2:D31,"Huyền",C2:C31)</f>
      </c>
      <c r="E35" s="327">
        <f>SUMIF(D2:D31,"Huyền",E2:E31)</f>
      </c>
      <c r="F35" s="327">
        <f t="shared" ref="F35:F42" si="3">D35-E35</f>
      </c>
      <c r="G35" s="253"/>
    </row>
    <row r="36">
      <c r="B36" s="253"/>
      <c r="C36" s="325" t="s">
        <v>142</v>
      </c>
      <c r="D36" s="257">
        <f>SUMIF(D2:D31,"Hoa",C2:C31)</f>
      </c>
      <c r="E36" s="327">
        <f>SUMIF(D2:D31,"Hoa",E2:E31)</f>
      </c>
      <c r="F36" s="257">
        <f t="shared" si="3"/>
      </c>
      <c r="G36" s="253"/>
    </row>
    <row r="37">
      <c r="B37" s="253"/>
      <c r="C37" s="257" t="s">
        <v>140</v>
      </c>
      <c r="D37" s="328">
        <f>SUMIF(D2:D31,"Thúy",C2:C31)</f>
      </c>
      <c r="E37" s="327">
        <f>SUMIF(D2:D31,"Thúy",E2:E31)</f>
      </c>
      <c r="F37" s="257">
        <f t="shared" si="3"/>
      </c>
      <c r="G37" s="253"/>
    </row>
    <row r="38">
      <c r="B38" s="253"/>
      <c r="C38" s="325" t="s">
        <v>148</v>
      </c>
      <c r="D38" s="328">
        <f>SUMIF(D2:D31,"Khanh",C2:C31)</f>
      </c>
      <c r="E38" s="329">
        <f>SUMIF(D2:D31,"Khanh",E2:E31)</f>
      </c>
      <c r="F38" s="257">
        <f t="shared" si="3"/>
      </c>
      <c r="G38" s="253"/>
    </row>
    <row r="39">
      <c r="B39" s="253"/>
      <c r="C39" s="330" t="s">
        <v>141</v>
      </c>
      <c r="D39" s="331">
        <f>SUMIF(D2:D31,"Mai",C2:C31)</f>
      </c>
      <c r="E39" s="329">
        <f>SUMIF(D2:D31,"Mai",E2:E31)</f>
      </c>
      <c r="F39" s="257">
        <f t="shared" si="3"/>
      </c>
      <c r="G39" s="253"/>
    </row>
    <row r="40">
      <c r="B40" s="253"/>
      <c r="C40" s="325" t="s">
        <v>136</v>
      </c>
      <c r="D40" s="332">
        <f>SUMIF(D2:D31,"Ngân",C2:C31)</f>
      </c>
      <c r="E40" s="329">
        <f>SUMIF(D2:D31,"Ngân",E2:E31)</f>
      </c>
      <c r="F40" s="333">
        <f t="shared" si="3"/>
      </c>
      <c r="G40" s="253"/>
    </row>
    <row customHeight="true" ht="16" r="41">
      <c r="B41" s="253"/>
      <c r="C41" s="325" t="s">
        <v>165</v>
      </c>
      <c r="D41" s="332">
        <f>SUMIF(D2:D31,"Linh",C2:C31)</f>
      </c>
      <c r="E41" s="334">
        <f>SUMIF(D3:D32,"Linh",E3:E32)</f>
      </c>
      <c r="F41" s="333">
        <f t="shared" si="3"/>
      </c>
    </row>
    <row r="42">
      <c r="B42" s="253"/>
      <c r="C42" s="325" t="s">
        <v>137</v>
      </c>
      <c r="D42" s="257">
        <f>SUM(D35:D41)</f>
      </c>
      <c r="E42" s="335">
        <f>SUM(E35:E41)</f>
      </c>
      <c r="F42" s="333">
        <f t="shared" si="3"/>
      </c>
    </row>
    <row r="43">
      <c r="C43" s="253"/>
      <c r="D43" s="253"/>
      <c r="E43" s="253"/>
    </row>
  </sheetData>
  <mergeCells>
    <mergeCell ref="A7:B7"/>
    <mergeCell ref="A3:B3"/>
    <mergeCell ref="A4:A6"/>
    <mergeCell ref="A12:B12"/>
    <mergeCell ref="A22:B22"/>
    <mergeCell ref="A20:B20"/>
    <mergeCell ref="A16:B16"/>
    <mergeCell ref="A18:B18"/>
    <mergeCell ref="A14:B14"/>
    <mergeCell ref="A25:B25"/>
    <mergeCell ref="A10:B10"/>
    <mergeCell ref="A27:B27"/>
    <mergeCell ref="A29:B29"/>
    <mergeCell ref="A31:B31"/>
    <mergeCell ref="A8:A9"/>
    <mergeCell ref="B8:B9"/>
    <mergeCell ref="B4:B6"/>
  </mergeCell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 min="1" style="0" width="22"/>
    <col collapsed="false" customWidth="true" hidden="false" max="2" min="2" style="0" width="29"/>
    <col collapsed="false" customWidth="true" hidden="false" max="5" min="5" style="0" width="11"/>
    <col collapsed="false" customWidth="true" hidden="false" max="7" min="7" style="0" width="18"/>
    <col collapsed="false" customWidth="true" hidden="false" max="8" min="8" style="0" width="55"/>
  </cols>
  <sheetData>
    <row r="1">
      <c r="A1" s="336" t="s">
        <v>166</v>
      </c>
      <c r="B1" s="336" t="s">
        <v>167</v>
      </c>
      <c r="C1" s="337" t="s">
        <v>168</v>
      </c>
      <c r="D1" s="338" t="s">
        <v>169</v>
      </c>
      <c r="E1" s="339" t="s">
        <v>170</v>
      </c>
      <c r="F1" s="339" t="s">
        <v>171</v>
      </c>
      <c r="H1" s="340" t="s">
        <v>172</v>
      </c>
    </row>
    <row r="2">
      <c r="A2" s="341" t="s">
        <v>173</v>
      </c>
      <c r="B2" s="342" t="s">
        <v>174</v>
      </c>
      <c r="C2" s="341">
        <v>7</v>
      </c>
      <c r="D2" s="343" t="s">
        <v>175</v>
      </c>
      <c r="E2" s="343">
        <v>7</v>
      </c>
      <c r="F2" s="344">
        <f t="shared" ref="F2:F3" si="0">C2-E2</f>
      </c>
      <c r="G2" s="345"/>
    </row>
    <row customHeight="true" ht="16" r="3">
      <c r="A3" s="341"/>
      <c r="B3" s="342"/>
      <c r="C3" s="341">
        <v>3</v>
      </c>
      <c r="D3" s="343" t="s">
        <v>176</v>
      </c>
      <c r="E3" s="343"/>
      <c r="F3" s="344">
        <f t="shared" si="0"/>
      </c>
      <c r="G3" s="345"/>
    </row>
    <row customHeight="true" ht="27" r="4">
      <c r="A4" s="346" t="s">
        <v>177</v>
      </c>
      <c r="B4" s="346"/>
      <c r="C4" s="347">
        <f>SUBTOTAL(9,C2:C3)</f>
      </c>
      <c r="D4" s="348"/>
      <c r="E4" s="349"/>
      <c r="F4" s="350">
        <f>SUM(F2:F3)</f>
      </c>
      <c r="G4" s="345"/>
    </row>
    <row r="5">
      <c r="A5" s="351" t="s">
        <v>178</v>
      </c>
      <c r="B5" s="352" t="s">
        <v>179</v>
      </c>
      <c r="C5" s="353">
        <v>3</v>
      </c>
      <c r="D5" s="354" t="s">
        <v>180</v>
      </c>
      <c r="E5" s="354">
        <v>2</v>
      </c>
      <c r="F5" s="355">
        <f t="shared" ref="F5:F6" si="1">C5-E5</f>
      </c>
      <c r="G5" s="356"/>
      <c r="I5" s="357"/>
    </row>
    <row customHeight="true" ht="27" r="6">
      <c r="A6" s="351"/>
      <c r="B6" s="352"/>
      <c r="C6" s="353">
        <v>3</v>
      </c>
      <c r="D6" s="354" t="s">
        <v>181</v>
      </c>
      <c r="E6" s="354"/>
      <c r="F6" s="355">
        <f t="shared" si="1"/>
      </c>
      <c r="G6" s="356"/>
      <c r="I6" s="357"/>
    </row>
    <row customHeight="true" ht="14" r="7">
      <c r="A7" s="346" t="s">
        <v>177</v>
      </c>
      <c r="B7" s="346"/>
      <c r="C7" s="358">
        <f>SUBTOTAL(9,C5:C6)</f>
      </c>
      <c r="D7" s="348"/>
      <c r="E7" s="349"/>
      <c r="F7" s="350">
        <f>SUM(F5:F6)</f>
      </c>
      <c r="G7" s="359"/>
    </row>
    <row r="8">
      <c r="A8" s="351" t="s">
        <v>182</v>
      </c>
      <c r="B8" s="351" t="s">
        <v>183</v>
      </c>
      <c r="C8" s="353">
        <v>5</v>
      </c>
      <c r="D8" s="354" t="s">
        <v>184</v>
      </c>
      <c r="E8" s="354">
        <v>3</v>
      </c>
      <c r="F8" s="355">
        <f t="shared" ref="F8:F9" si="2">C8-E8</f>
      </c>
      <c r="G8" s="345"/>
    </row>
    <row customHeight="true" ht="16" r="9">
      <c r="A9" s="351"/>
      <c r="B9" s="351"/>
      <c r="C9" s="353">
        <v>3</v>
      </c>
      <c r="D9" s="354" t="s">
        <v>185</v>
      </c>
      <c r="E9" s="360"/>
      <c r="F9" s="355">
        <f t="shared" si="2"/>
      </c>
      <c r="G9" s="345"/>
    </row>
    <row customHeight="true" ht="16" r="10">
      <c r="A10" s="346" t="s">
        <v>177</v>
      </c>
      <c r="B10" s="346"/>
      <c r="C10" s="358">
        <f>SUBTOTAL(9,C8:C9)</f>
      </c>
      <c r="D10" s="348"/>
      <c r="E10" s="349"/>
      <c r="F10" s="350">
        <f>SUM(F8:F9)</f>
      </c>
      <c r="G10" s="345"/>
    </row>
    <row r="11">
      <c r="A11" s="361" t="s">
        <v>186</v>
      </c>
      <c r="B11" s="362" t="s">
        <v>187</v>
      </c>
      <c r="C11" s="363">
        <v>5</v>
      </c>
      <c r="D11" s="364" t="s">
        <v>176</v>
      </c>
      <c r="E11" s="364"/>
      <c r="F11" s="365">
        <f>C11-E11</f>
      </c>
      <c r="G11" s="356"/>
    </row>
    <row customHeight="true" ht="16" r="12">
      <c r="A12" s="346" t="s">
        <v>177</v>
      </c>
      <c r="B12" s="346"/>
      <c r="C12" s="358">
        <f>C11</f>
      </c>
      <c r="D12" s="348"/>
      <c r="E12" s="349"/>
      <c r="F12" s="366">
        <f>F11</f>
      </c>
      <c r="G12" s="345"/>
    </row>
    <row customHeight="true" ht="25" r="13">
      <c r="A13" s="361" t="s">
        <v>188</v>
      </c>
      <c r="B13" s="362" t="s">
        <v>189</v>
      </c>
      <c r="C13" s="363">
        <v>5</v>
      </c>
      <c r="D13" s="364" t="s">
        <v>175</v>
      </c>
      <c r="E13" s="367"/>
      <c r="F13" s="365">
        <f>C13-E13</f>
      </c>
      <c r="G13" s="345"/>
    </row>
    <row r="14">
      <c r="A14" s="346" t="s">
        <v>177</v>
      </c>
      <c r="B14" s="346"/>
      <c r="C14" s="358">
        <f>C13</f>
      </c>
      <c r="D14" s="348"/>
      <c r="E14" s="349"/>
      <c r="F14" s="366">
        <f>F13</f>
      </c>
      <c r="G14" s="345"/>
    </row>
    <row customHeight="true" ht="27" r="15">
      <c r="A15" s="368" t="s">
        <v>190</v>
      </c>
      <c r="B15" s="369" t="s">
        <v>191</v>
      </c>
      <c r="C15" s="370">
        <v>5</v>
      </c>
      <c r="D15" s="371" t="s">
        <v>192</v>
      </c>
      <c r="E15" s="371"/>
      <c r="F15" s="372">
        <f>C15-E15</f>
      </c>
      <c r="G15" s="345"/>
    </row>
    <row customHeight="true" ht="27" r="16">
      <c r="A16" s="346" t="s">
        <v>177</v>
      </c>
      <c r="B16" s="346"/>
      <c r="C16" s="358">
        <f>SUBTOTAL(9,C15)</f>
      </c>
      <c r="D16" s="348"/>
      <c r="E16" s="349"/>
      <c r="F16" s="366">
        <f>F15</f>
      </c>
      <c r="G16" s="345"/>
    </row>
    <row r="17">
      <c r="A17" s="373" t="s">
        <v>193</v>
      </c>
      <c r="B17" s="374" t="s">
        <v>194</v>
      </c>
      <c r="C17" s="341">
        <v>3</v>
      </c>
      <c r="D17" s="343" t="s">
        <v>180</v>
      </c>
      <c r="E17" s="343"/>
      <c r="F17" s="344">
        <f t="shared" ref="F17:F18" si="3">C17-E17</f>
      </c>
      <c r="G17" s="356"/>
    </row>
    <row customHeight="true" ht="16" r="18">
      <c r="A18" s="373"/>
      <c r="B18" s="374"/>
      <c r="C18" s="341">
        <v>4</v>
      </c>
      <c r="D18" s="343" t="s">
        <v>181</v>
      </c>
      <c r="E18" s="343"/>
      <c r="F18" s="344">
        <f t="shared" si="3"/>
      </c>
      <c r="G18" s="356"/>
    </row>
    <row customHeight="true" ht="16" r="19">
      <c r="A19" s="346" t="s">
        <v>177</v>
      </c>
      <c r="B19" s="346"/>
      <c r="C19" s="347">
        <f>SUBTOTAL(9,C17:C18)</f>
      </c>
      <c r="D19" s="348"/>
      <c r="E19" s="349"/>
      <c r="F19" s="350">
        <f>SUM(F17:F18)</f>
      </c>
      <c r="G19" s="345"/>
    </row>
    <row r="20">
      <c r="A20" s="375" t="s">
        <v>195</v>
      </c>
      <c r="B20" s="376" t="s">
        <v>196</v>
      </c>
      <c r="C20" s="377">
        <v>5</v>
      </c>
      <c r="D20" s="378" t="s">
        <v>181</v>
      </c>
      <c r="E20" s="378"/>
      <c r="F20" s="379">
        <f>C20-E20</f>
      </c>
      <c r="G20" s="356"/>
    </row>
    <row customHeight="true" ht="16" r="21">
      <c r="A21" s="346" t="s">
        <v>177</v>
      </c>
      <c r="B21" s="346"/>
      <c r="C21" s="358">
        <f>C20</f>
      </c>
      <c r="D21" s="380"/>
      <c r="E21" s="380"/>
      <c r="F21" s="366">
        <f>F20</f>
      </c>
      <c r="G21" s="345"/>
    </row>
    <row r="22">
      <c r="A22" s="381" t="s">
        <v>197</v>
      </c>
      <c r="B22" s="382" t="s">
        <v>198</v>
      </c>
      <c r="C22" s="370">
        <v>5</v>
      </c>
      <c r="D22" s="371" t="s">
        <v>175</v>
      </c>
      <c r="E22" s="383"/>
      <c r="F22" s="372">
        <f>C22-E22</f>
      </c>
      <c r="G22" s="345"/>
    </row>
    <row customHeight="true" ht="16" r="23">
      <c r="A23" s="346" t="s">
        <v>177</v>
      </c>
      <c r="B23" s="346"/>
      <c r="C23" s="358">
        <f>SUBTOTAL(9,C22)</f>
      </c>
      <c r="D23" s="380"/>
      <c r="E23" s="380"/>
      <c r="F23" s="366">
        <f>F22</f>
      </c>
      <c r="G23" s="345"/>
    </row>
    <row r="24">
      <c r="A24" s="384" t="s">
        <v>199</v>
      </c>
      <c r="B24" s="385" t="s">
        <v>200</v>
      </c>
      <c r="C24" s="386">
        <v>7</v>
      </c>
      <c r="D24" s="387" t="s">
        <v>184</v>
      </c>
      <c r="E24" s="387">
        <v>5</v>
      </c>
      <c r="F24" s="388">
        <f>C24-E24</f>
      </c>
      <c r="G24" s="345"/>
    </row>
    <row customHeight="true" ht="16" r="25">
      <c r="A25" s="346" t="s">
        <v>177</v>
      </c>
      <c r="B25" s="389"/>
      <c r="C25" s="390">
        <f>C24</f>
      </c>
      <c r="D25" s="380"/>
      <c r="E25" s="380"/>
      <c r="F25" s="366">
        <f>F24</f>
      </c>
      <c r="G25" s="357"/>
      <c r="H25" s="357"/>
      <c r="I25" s="357"/>
      <c r="J25" s="357"/>
      <c r="K25" s="357"/>
      <c r="L25" s="357"/>
      <c r="M25" s="357"/>
      <c r="N25" s="357"/>
      <c r="O25" s="357"/>
      <c r="P25" s="357"/>
      <c r="Q25" s="357"/>
      <c r="R25" s="357"/>
      <c r="S25" s="357"/>
      <c r="T25" s="357"/>
      <c r="U25" s="357"/>
    </row>
    <row customHeight="true" ht="32" r="26">
      <c r="A26" s="391" t="s">
        <v>201</v>
      </c>
      <c r="B26" s="392" t="s">
        <v>202</v>
      </c>
      <c r="C26" s="393">
        <v>5</v>
      </c>
      <c r="D26" s="394" t="s">
        <v>192</v>
      </c>
      <c r="E26" s="395"/>
      <c r="F26" s="396">
        <f>C26-E26</f>
      </c>
      <c r="G26" s="345"/>
      <c r="H26" s="345"/>
    </row>
    <row customHeight="true" ht="16" r="27">
      <c r="A27" s="397" t="s">
        <v>177</v>
      </c>
      <c r="B27" s="397"/>
      <c r="C27" s="398">
        <f>SUM(C26)</f>
      </c>
      <c r="D27" s="399"/>
      <c r="E27" s="400"/>
      <c r="F27" s="366">
        <f>F26</f>
      </c>
      <c r="G27" s="345"/>
      <c r="H27" s="345"/>
    </row>
    <row r="28">
      <c r="A28" s="384" t="s">
        <v>203</v>
      </c>
      <c r="B28" s="401" t="s">
        <v>204</v>
      </c>
      <c r="C28" s="384">
        <v>4</v>
      </c>
      <c r="D28" s="402" t="s">
        <v>180</v>
      </c>
      <c r="E28" s="402">
        <v>3</v>
      </c>
      <c r="F28" s="384">
        <f t="shared" ref="F28:F29" si="4">C28-E28</f>
      </c>
      <c r="G28" s="356"/>
      <c r="H28" s="345"/>
    </row>
    <row customHeight="true" ht="16" r="29">
      <c r="A29" s="384"/>
      <c r="B29" s="401"/>
      <c r="C29" s="384">
        <v>4</v>
      </c>
      <c r="D29" s="402" t="s">
        <v>185</v>
      </c>
      <c r="E29" s="402"/>
      <c r="F29" s="384">
        <f t="shared" si="4"/>
      </c>
      <c r="G29" s="356"/>
      <c r="H29" s="345"/>
    </row>
    <row customHeight="true" ht="32" r="30">
      <c r="A30" s="397" t="s">
        <v>177</v>
      </c>
      <c r="B30" s="397"/>
      <c r="C30" s="390">
        <f>SUM(C28,C29)</f>
      </c>
      <c r="D30" s="397"/>
      <c r="E30" s="403"/>
      <c r="F30" s="366">
        <f>SUM(F28:F29)</f>
      </c>
      <c r="G30" s="345"/>
      <c r="H30" s="345"/>
    </row>
    <row customHeight="true" hidden="true" ht="16" r="31">
      <c r="A31" s="404"/>
      <c r="B31" s="405"/>
      <c r="C31" s="353"/>
      <c r="D31" s="354"/>
      <c r="E31" s="406"/>
      <c r="F31" s="353"/>
      <c r="G31" s="345"/>
      <c r="H31" s="345"/>
    </row>
    <row customHeight="true" hidden="true" ht="16" r="32">
      <c r="A32" s="397" t="s">
        <v>177</v>
      </c>
      <c r="B32" s="397"/>
      <c r="C32" s="390">
        <f>SUM(C31)</f>
      </c>
      <c r="D32" s="397"/>
      <c r="E32" s="403"/>
      <c r="F32" s="390">
        <f>C32-E32</f>
      </c>
      <c r="G32" s="345"/>
      <c r="H32" s="345"/>
    </row>
    <row customHeight="true" hidden="true" ht="16" r="33">
      <c r="A33" s="407"/>
      <c r="B33" s="408"/>
      <c r="C33" s="363"/>
      <c r="D33" s="364"/>
      <c r="E33" s="409"/>
      <c r="F33" s="363"/>
      <c r="G33" s="345"/>
      <c r="H33" s="345"/>
    </row>
    <row customHeight="true" hidden="true" ht="16" r="34">
      <c r="A34" s="397" t="s">
        <v>177</v>
      </c>
      <c r="B34" s="397"/>
      <c r="C34" s="390">
        <f>SUM(C33)</f>
      </c>
      <c r="D34" s="397"/>
      <c r="E34" s="403"/>
      <c r="F34" s="390">
        <f>C34-E34</f>
      </c>
      <c r="G34" s="345"/>
      <c r="H34" s="345"/>
    </row>
    <row r="35">
      <c r="A35" s="410" t="s">
        <v>205</v>
      </c>
      <c r="B35" s="411" t="s">
        <v>206</v>
      </c>
      <c r="C35" s="390">
        <v>15</v>
      </c>
      <c r="D35" s="397"/>
      <c r="E35" s="403"/>
      <c r="F35" s="390"/>
      <c r="G35" s="345"/>
      <c r="H35" s="345"/>
    </row>
    <row customHeight="true" ht="16" r="36">
      <c r="A36" s="412" t="s">
        <v>177</v>
      </c>
      <c r="B36" s="413"/>
      <c r="C36" s="413">
        <f>SUM(C4,C10,C19,C21,C23,C25,C35,C27,C32,C14,C30,C34,C16,C7,C12)</f>
      </c>
      <c r="D36" s="414"/>
      <c r="E36" s="415"/>
      <c r="F36" s="412">
        <f>C36-E36</f>
      </c>
      <c r="G36" s="345"/>
      <c r="H36" s="345"/>
    </row>
    <row customHeight="true" ht="16" r="37">
      <c r="A37" s="345"/>
      <c r="B37" s="345"/>
      <c r="C37" s="345"/>
      <c r="D37" s="356"/>
      <c r="E37" s="356"/>
      <c r="F37" s="356"/>
      <c r="G37" s="345"/>
      <c r="H37" s="345"/>
    </row>
    <row customHeight="true" ht="16" r="38">
      <c r="A38" s="345"/>
      <c r="B38" s="345"/>
      <c r="C38" s="345"/>
      <c r="D38" s="356"/>
      <c r="E38" s="356"/>
      <c r="F38" s="356"/>
      <c r="G38" s="345"/>
      <c r="H38" s="345"/>
    </row>
    <row r="39">
      <c r="B39" s="345"/>
      <c r="C39" s="349" t="s">
        <v>207</v>
      </c>
      <c r="D39" s="416" t="s">
        <v>168</v>
      </c>
      <c r="E39" s="416" t="s">
        <v>208</v>
      </c>
      <c r="F39" s="416" t="s">
        <v>171</v>
      </c>
      <c r="G39" s="345"/>
    </row>
    <row r="40">
      <c r="B40" s="345"/>
      <c r="C40" s="417" t="s">
        <v>175</v>
      </c>
      <c r="D40" s="418">
        <f>SUMIF(D2:D36,"Huyền",C2:C36)</f>
      </c>
      <c r="E40" s="418">
        <f>SUMIF(D2:D36,"Huyền",E2:E36)</f>
      </c>
      <c r="F40" s="418">
        <f t="shared" ref="F40:F47" si="5">D40-E40</f>
      </c>
      <c r="G40" s="345"/>
    </row>
    <row r="41">
      <c r="B41" s="345"/>
      <c r="C41" s="416" t="s">
        <v>184</v>
      </c>
      <c r="D41" s="349">
        <f>SUMIF(D2:D36,"Hoa",C2:C36)</f>
      </c>
      <c r="E41" s="418">
        <f>SUMIF(D2:D36,"Hoa",E2:E36)</f>
      </c>
      <c r="F41" s="349">
        <f t="shared" si="5"/>
      </c>
      <c r="G41" s="345"/>
    </row>
    <row r="42">
      <c r="B42" s="345"/>
      <c r="C42" s="349" t="s">
        <v>180</v>
      </c>
      <c r="D42" s="419">
        <f>SUMIF(D2:D36,"Thúy",C2:C36)</f>
      </c>
      <c r="E42" s="418">
        <f>SUMIF(D2:D36,"Thúy",E2:E36)</f>
      </c>
      <c r="F42" s="349">
        <f t="shared" si="5"/>
      </c>
      <c r="G42" s="345"/>
    </row>
    <row r="43">
      <c r="B43" s="345"/>
      <c r="C43" s="416" t="s">
        <v>192</v>
      </c>
      <c r="D43" s="419">
        <f>SUMIF(D2:D36,"Khanh",C2:C36)</f>
      </c>
      <c r="E43" s="420">
        <f>SUMIF(D2:D36,"Khanh",E2:E36)</f>
      </c>
      <c r="F43" s="349">
        <f t="shared" si="5"/>
      </c>
      <c r="G43" s="345"/>
    </row>
    <row r="44">
      <c r="B44" s="345"/>
      <c r="C44" s="421" t="s">
        <v>185</v>
      </c>
      <c r="D44" s="422">
        <f>SUMIF(D2:D36,"Mai",C2:C36)</f>
      </c>
      <c r="E44" s="420">
        <f>SUMIF(D2:D36,"Mai",E2:E36)</f>
      </c>
      <c r="F44" s="349">
        <f t="shared" si="5"/>
      </c>
      <c r="G44" s="345"/>
    </row>
    <row r="45">
      <c r="B45" s="345"/>
      <c r="C45" s="416" t="s">
        <v>176</v>
      </c>
      <c r="D45" s="423">
        <f>SUMIF(D2:D36,"Ngân",C2:C36)</f>
      </c>
      <c r="E45" s="420">
        <f>SUMIF(D2:D36,"Ngân",E2:E36)</f>
      </c>
      <c r="F45" s="424">
        <f t="shared" si="5"/>
      </c>
      <c r="G45" s="345"/>
    </row>
    <row customHeight="true" ht="16" r="46">
      <c r="B46" s="345"/>
      <c r="C46" s="416" t="s">
        <v>181</v>
      </c>
      <c r="D46" s="423">
        <f>SUMIF(D2:D36,"Linh",C2:C36)</f>
      </c>
      <c r="E46" s="420">
        <f>SUMIF(D4:D37,"Linh",E4:E37)</f>
      </c>
      <c r="F46" s="424">
        <f t="shared" si="5"/>
      </c>
    </row>
    <row r="47">
      <c r="B47" s="345"/>
      <c r="C47" s="416" t="s">
        <v>177</v>
      </c>
      <c r="D47" s="349">
        <f>SUM(D40:D46)</f>
      </c>
      <c r="E47" s="349">
        <f>SUM(E40:E46)</f>
      </c>
      <c r="F47" s="424">
        <f t="shared" si="5"/>
      </c>
    </row>
    <row r="48">
      <c r="B48" s="356"/>
      <c r="C48" s="345"/>
      <c r="D48" s="345"/>
      <c r="E48" s="345"/>
    </row>
  </sheetData>
  <mergeCells>
    <mergeCell ref="B2:B3"/>
    <mergeCell ref="A2:A3"/>
    <mergeCell ref="A4:B4"/>
    <mergeCell ref="B8:B9"/>
    <mergeCell ref="A8:A9"/>
    <mergeCell ref="A12:B12"/>
    <mergeCell ref="A16:B16"/>
    <mergeCell ref="A14:B14"/>
    <mergeCell ref="A10:B10"/>
    <mergeCell ref="B28:B29"/>
    <mergeCell ref="A28:A29"/>
    <mergeCell ref="A36:B36"/>
    <mergeCell ref="A34:B34"/>
    <mergeCell ref="A32:B32"/>
    <mergeCell ref="A30:B30"/>
    <mergeCell ref="A19:B19"/>
    <mergeCell ref="A23:B23"/>
    <mergeCell ref="A21:B21"/>
    <mergeCell ref="A25:B25"/>
    <mergeCell ref="A27:B27"/>
    <mergeCell ref="A17:A18"/>
    <mergeCell ref="B17:B18"/>
    <mergeCell ref="A7:B7"/>
    <mergeCell ref="A5:A6"/>
    <mergeCell ref="B5:B6"/>
  </mergeCells>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5" min="5" style="0" width="11"/>
    <col collapsed="false" customWidth="true" hidden="false" max="7" min="7" style="0" width="18"/>
    <col collapsed="false" customWidth="true" hidden="false" max="8" min="8" style="0" width="55"/>
    <col collapsed="false" customWidth="true" hidden="false" max="1" min="1" style="0" width="22"/>
    <col collapsed="false" customWidth="true" hidden="false" max="2" min="2" style="0" width="29"/>
  </cols>
  <sheetData>
    <row r="1">
      <c r="A1" s="425" t="s">
        <v>209</v>
      </c>
      <c r="B1" s="425" t="s">
        <v>210</v>
      </c>
      <c r="C1" s="426" t="s">
        <v>211</v>
      </c>
      <c r="D1" s="427" t="s">
        <v>212</v>
      </c>
      <c r="E1" s="428" t="s">
        <v>213</v>
      </c>
      <c r="F1" s="428" t="s">
        <v>214</v>
      </c>
      <c r="H1" s="429" t="s">
        <v>215</v>
      </c>
    </row>
    <row r="2">
      <c r="A2" s="430" t="s">
        <v>216</v>
      </c>
      <c r="B2" s="431" t="s">
        <v>217</v>
      </c>
      <c r="C2" s="430">
        <v>7</v>
      </c>
      <c r="D2" s="432" t="s">
        <v>218</v>
      </c>
      <c r="E2" s="432">
        <v>7</v>
      </c>
      <c r="F2" s="433">
        <f>C2-E2</f>
      </c>
      <c r="G2" s="434"/>
    </row>
    <row customHeight="true" ht="27" r="3">
      <c r="A3" s="435" t="s">
        <v>219</v>
      </c>
      <c r="B3" s="435"/>
      <c r="C3" s="436">
        <f>SUBTOTAL(9,C2)</f>
      </c>
      <c r="D3" s="437"/>
      <c r="E3" s="438"/>
      <c r="F3" s="439">
        <f>F2</f>
      </c>
      <c r="G3" s="434"/>
    </row>
    <row r="4">
      <c r="A4" s="440" t="s">
        <v>220</v>
      </c>
      <c r="B4" s="441" t="s">
        <v>221</v>
      </c>
      <c r="C4" s="442">
        <v>5</v>
      </c>
      <c r="D4" s="443" t="s">
        <v>222</v>
      </c>
      <c r="E4" s="443">
        <v>5</v>
      </c>
      <c r="F4" s="444">
        <f>C4-E4</f>
      </c>
      <c r="G4" s="445"/>
      <c r="I4" s="446"/>
    </row>
    <row customHeight="true" ht="14" r="5">
      <c r="A5" s="435" t="s">
        <v>219</v>
      </c>
      <c r="B5" s="435"/>
      <c r="C5" s="447">
        <f>SUBTOTAL(9,C4)</f>
      </c>
      <c r="D5" s="437"/>
      <c r="E5" s="438"/>
      <c r="F5" s="439">
        <f>F4</f>
      </c>
      <c r="G5" s="448"/>
    </row>
    <row r="6">
      <c r="A6" s="440" t="s">
        <v>223</v>
      </c>
      <c r="B6" s="441" t="s">
        <v>224</v>
      </c>
      <c r="C6" s="442">
        <v>5</v>
      </c>
      <c r="D6" s="443" t="s">
        <v>225</v>
      </c>
      <c r="E6" s="443">
        <v>2</v>
      </c>
      <c r="F6" s="444">
        <f>C6-E6</f>
      </c>
      <c r="G6" s="434"/>
    </row>
    <row customHeight="true" ht="16" r="7">
      <c r="A7" s="435" t="s">
        <v>219</v>
      </c>
      <c r="B7" s="435"/>
      <c r="C7" s="447">
        <f>SUBTOTAL(9,C6)</f>
      </c>
      <c r="D7" s="437"/>
      <c r="E7" s="438"/>
      <c r="F7" s="449">
        <f>F6</f>
      </c>
      <c r="G7" s="434"/>
    </row>
    <row r="8">
      <c r="A8" s="450" t="s">
        <v>226</v>
      </c>
      <c r="B8" s="451" t="s">
        <v>227</v>
      </c>
      <c r="C8" s="430">
        <v>8</v>
      </c>
      <c r="D8" s="432" t="s">
        <v>225</v>
      </c>
      <c r="E8" s="432">
        <v>4</v>
      </c>
      <c r="F8" s="433">
        <f>C8-E8</f>
      </c>
      <c r="G8" s="445"/>
    </row>
    <row customHeight="true" ht="16" r="9">
      <c r="A9" s="435" t="s">
        <v>219</v>
      </c>
      <c r="B9" s="435"/>
      <c r="C9" s="447">
        <f>SUBTOTAL(9,C8)</f>
      </c>
      <c r="D9" s="437"/>
      <c r="E9" s="438"/>
      <c r="F9" s="449">
        <f>F8</f>
      </c>
      <c r="G9" s="445"/>
    </row>
    <row customHeight="true" ht="16" r="10">
      <c r="A10" s="450" t="s">
        <v>228</v>
      </c>
      <c r="B10" s="451" t="s">
        <v>229</v>
      </c>
      <c r="C10" s="430">
        <v>5</v>
      </c>
      <c r="D10" s="432" t="s">
        <v>225</v>
      </c>
      <c r="E10" s="452">
        <v>5</v>
      </c>
      <c r="F10" s="433">
        <f>C10-E10</f>
      </c>
      <c r="G10" s="445"/>
    </row>
    <row customHeight="true" ht="16" r="11">
      <c r="A11" s="435" t="s">
        <v>219</v>
      </c>
      <c r="B11" s="435"/>
      <c r="C11" s="447">
        <f>SUBTOTAL(9,C10)</f>
      </c>
      <c r="D11" s="437"/>
      <c r="E11" s="438"/>
      <c r="F11" s="449">
        <f>F10</f>
      </c>
      <c r="G11" s="434"/>
    </row>
    <row customHeight="true" ht="16" r="12">
      <c r="A12" s="453" t="s">
        <v>219</v>
      </c>
      <c r="B12" s="454"/>
      <c r="C12" s="453">
        <f>SUM(C3,C5,C7,C11)</f>
      </c>
      <c r="D12" s="455"/>
      <c r="E12" s="456"/>
      <c r="F12" s="453">
        <f>C12-E12</f>
      </c>
      <c r="G12" s="434"/>
      <c r="H12" s="434"/>
    </row>
    <row customHeight="true" ht="16" r="13">
      <c r="A13" s="434"/>
      <c r="B13" s="434"/>
      <c r="C13" s="434"/>
      <c r="D13" s="445"/>
      <c r="E13" s="445"/>
      <c r="F13" s="445"/>
      <c r="G13" s="434"/>
      <c r="H13" s="434"/>
    </row>
    <row customHeight="true" ht="16" r="14">
      <c r="A14" s="434"/>
      <c r="B14" s="434"/>
      <c r="C14" s="434"/>
      <c r="D14" s="445"/>
      <c r="E14" s="445"/>
      <c r="F14" s="445"/>
      <c r="G14" s="434"/>
      <c r="H14" s="434"/>
    </row>
    <row r="15">
      <c r="B15" s="434"/>
      <c r="C15" s="438" t="s">
        <v>230</v>
      </c>
      <c r="D15" s="457" t="s">
        <v>211</v>
      </c>
      <c r="E15" s="457" t="s">
        <v>231</v>
      </c>
      <c r="F15" s="457" t="s">
        <v>214</v>
      </c>
      <c r="G15" s="434"/>
    </row>
    <row r="16">
      <c r="B16" s="434"/>
      <c r="C16" s="458" t="s">
        <v>225</v>
      </c>
      <c r="D16" s="459">
        <f>SUMIF(D2:D12,"Huyền",C2:C12)</f>
      </c>
      <c r="E16" s="459">
        <f>SUMIF(D2:D12,"Huyền",E2:E12)</f>
      </c>
      <c r="F16" s="459">
        <f t="shared" ref="F16:F23" si="0">D16-E16</f>
      </c>
      <c r="G16" s="434"/>
    </row>
    <row r="17">
      <c r="B17" s="434"/>
      <c r="C17" s="457" t="s">
        <v>232</v>
      </c>
      <c r="D17" s="438">
        <f>SUMIF(D2:D12,"Hoa",C2:C12)</f>
      </c>
      <c r="E17" s="459">
        <f>SUMIF(D2:D12,"Hoa",E2:E12)</f>
      </c>
      <c r="F17" s="438">
        <f t="shared" si="0"/>
      </c>
      <c r="G17" s="434"/>
    </row>
    <row r="18">
      <c r="B18" s="434"/>
      <c r="C18" s="438" t="s">
        <v>233</v>
      </c>
      <c r="D18" s="460">
        <f>SUMIF(D2:D12,"Thúy",C2:C12)</f>
      </c>
      <c r="E18" s="459">
        <f>SUMIF(D2:D12,"Thúy",E2:E12)</f>
      </c>
      <c r="F18" s="438">
        <f t="shared" si="0"/>
      </c>
      <c r="G18" s="434"/>
    </row>
    <row r="19">
      <c r="B19" s="434"/>
      <c r="C19" s="457" t="s">
        <v>222</v>
      </c>
      <c r="D19" s="460">
        <f>SUMIF(D2:D12,"Khanh",C2:C12)</f>
      </c>
      <c r="E19" s="461">
        <f>SUMIF(D2:D12,"Khanh",E2:E12)</f>
      </c>
      <c r="F19" s="438">
        <f t="shared" si="0"/>
      </c>
      <c r="G19" s="434"/>
    </row>
    <row r="20">
      <c r="B20" s="434"/>
      <c r="C20" s="462" t="s">
        <v>234</v>
      </c>
      <c r="D20" s="463">
        <f>SUMIF(D2:D12,"Mai",C2:C12)</f>
      </c>
      <c r="E20" s="461">
        <f>SUMIF(D2:D12,"Mai",E2:E12)</f>
      </c>
      <c r="F20" s="438">
        <f t="shared" si="0"/>
      </c>
      <c r="G20" s="434"/>
    </row>
    <row r="21">
      <c r="B21" s="434"/>
      <c r="C21" s="457" t="s">
        <v>235</v>
      </c>
      <c r="D21" s="464">
        <f>SUMIF(D2:D12,"Ngân",C2:C12)</f>
      </c>
      <c r="E21" s="461">
        <f>SUMIF(D2:D12,"Ngân",E2:E12)</f>
      </c>
      <c r="F21" s="465">
        <f t="shared" si="0"/>
      </c>
      <c r="G21" s="434"/>
    </row>
    <row customHeight="true" ht="16" r="22">
      <c r="B22" s="434"/>
      <c r="C22" s="457" t="s">
        <v>218</v>
      </c>
      <c r="D22" s="464">
        <f>SUMIF(D2:D12,"Linh",C2:C12)</f>
      </c>
      <c r="E22" s="461">
        <f>SUMIF(D2:D12,"Linh",E2:E12)</f>
      </c>
      <c r="F22" s="465">
        <f t="shared" si="0"/>
      </c>
    </row>
    <row r="23">
      <c r="B23" s="434"/>
      <c r="C23" s="457" t="s">
        <v>219</v>
      </c>
      <c r="D23" s="438">
        <f>SUM(D16:D22)</f>
      </c>
      <c r="E23" s="438">
        <f>SUM(E16:E22)</f>
      </c>
      <c r="F23" s="465">
        <f t="shared" si="0"/>
      </c>
    </row>
    <row r="24">
      <c r="B24" s="445"/>
      <c r="C24" s="434"/>
      <c r="D24" s="434"/>
      <c r="E24" s="434"/>
    </row>
  </sheetData>
  <mergeCells>
    <mergeCell ref="A5:B5"/>
    <mergeCell ref="A7:B7"/>
    <mergeCell ref="A3:B3"/>
    <mergeCell ref="A11:B11"/>
    <mergeCell ref="A12:B12"/>
    <mergeCell ref="A9:B9"/>
  </mergeCells>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 min="1" style="0" width="22"/>
    <col collapsed="false" customWidth="true" hidden="false" max="2" min="2" style="0" width="29"/>
    <col collapsed="false" customWidth="true" hidden="false" max="5" min="5" style="0" width="11"/>
    <col collapsed="false" customWidth="true" hidden="false" max="7" min="7" style="0" width="18"/>
    <col collapsed="false" customWidth="true" hidden="false" max="8" min="8" style="0" width="55"/>
  </cols>
  <sheetData>
    <row r="1">
      <c r="A1" s="466" t="s">
        <v>236</v>
      </c>
      <c r="B1" s="466" t="s">
        <v>237</v>
      </c>
      <c r="C1" s="467" t="s">
        <v>238</v>
      </c>
      <c r="D1" s="468" t="s">
        <v>239</v>
      </c>
      <c r="E1" s="469" t="s">
        <v>240</v>
      </c>
      <c r="F1" s="469" t="s">
        <v>241</v>
      </c>
      <c r="H1" s="470" t="s">
        <v>242</v>
      </c>
    </row>
    <row r="2">
      <c r="A2" s="471" t="s">
        <v>243</v>
      </c>
      <c r="B2" s="472" t="s">
        <v>244</v>
      </c>
      <c r="C2" s="471">
        <v>5</v>
      </c>
      <c r="D2" s="473" t="s">
        <v>245</v>
      </c>
      <c r="E2" s="473">
        <v>5</v>
      </c>
      <c r="F2" s="474">
        <f>C2-E2</f>
      </c>
      <c r="G2" s="475"/>
    </row>
    <row customHeight="true" ht="27" r="3">
      <c r="A3" s="476" t="s">
        <v>246</v>
      </c>
      <c r="B3" s="476"/>
      <c r="C3" s="477">
        <f>SUBTOTAL(9,C2)</f>
      </c>
      <c r="D3" s="478"/>
      <c r="E3" s="479"/>
      <c r="F3" s="480">
        <f>F2</f>
      </c>
      <c r="G3" s="475"/>
    </row>
    <row r="4">
      <c r="A4" s="481" t="s">
        <v>247</v>
      </c>
      <c r="B4" s="482" t="s">
        <v>248</v>
      </c>
      <c r="C4" s="483">
        <v>7</v>
      </c>
      <c r="D4" s="484" t="s">
        <v>249</v>
      </c>
      <c r="E4" s="484">
        <v>5</v>
      </c>
      <c r="F4" s="485">
        <f>C4-E4</f>
      </c>
      <c r="G4" s="486"/>
      <c r="I4" s="487"/>
    </row>
    <row customHeight="true" ht="14" r="5">
      <c r="A5" s="476" t="s">
        <v>246</v>
      </c>
      <c r="B5" s="476"/>
      <c r="C5" s="488">
        <f>SUBTOTAL(9,C4)</f>
      </c>
      <c r="D5" s="478"/>
      <c r="E5" s="479"/>
      <c r="F5" s="480">
        <f>F4</f>
      </c>
      <c r="G5" s="489"/>
    </row>
    <row r="6">
      <c r="A6" s="490" t="s">
        <v>250</v>
      </c>
      <c r="B6" s="491" t="s">
        <v>251</v>
      </c>
      <c r="C6" s="492">
        <v>8</v>
      </c>
      <c r="D6" s="493" t="s">
        <v>252</v>
      </c>
      <c r="E6" s="493">
        <v>8</v>
      </c>
      <c r="F6" s="494">
        <f>C6-E6</f>
      </c>
      <c r="G6" s="475"/>
    </row>
    <row customHeight="true" ht="16" r="7">
      <c r="A7" s="476" t="s">
        <v>246</v>
      </c>
      <c r="B7" s="476"/>
      <c r="C7" s="488">
        <f>SUBTOTAL(9,C6)</f>
      </c>
      <c r="D7" s="478"/>
      <c r="E7" s="479"/>
      <c r="F7" s="495">
        <f>F6</f>
      </c>
      <c r="G7" s="475"/>
    </row>
    <row r="8">
      <c r="A8" s="496" t="s">
        <v>253</v>
      </c>
      <c r="B8" s="497" t="s">
        <v>254</v>
      </c>
      <c r="C8" s="498">
        <v>8</v>
      </c>
      <c r="D8" s="499" t="s">
        <v>255</v>
      </c>
      <c r="E8" s="499">
        <v>8</v>
      </c>
      <c r="F8" s="500">
        <f>C8-E8</f>
      </c>
      <c r="G8" s="486"/>
    </row>
    <row customHeight="true" ht="16" r="9">
      <c r="A9" s="476" t="s">
        <v>246</v>
      </c>
      <c r="B9" s="476"/>
      <c r="C9" s="488">
        <f>SUBTOTAL(9,C8)</f>
      </c>
      <c r="D9" s="478"/>
      <c r="E9" s="479"/>
      <c r="F9" s="495">
        <f>F8</f>
      </c>
      <c r="G9" s="486"/>
    </row>
    <row customHeight="true" ht="33" r="10">
      <c r="A10" s="501" t="s">
        <v>256</v>
      </c>
      <c r="B10" s="502" t="s">
        <v>257</v>
      </c>
      <c r="C10" s="503">
        <v>5</v>
      </c>
      <c r="D10" s="504" t="s">
        <v>249</v>
      </c>
      <c r="E10" s="504">
        <v>3</v>
      </c>
      <c r="F10" s="505">
        <f>C10-E10</f>
      </c>
      <c r="G10" s="486"/>
    </row>
    <row customHeight="true" ht="16" r="11">
      <c r="A11" s="476" t="s">
        <v>246</v>
      </c>
      <c r="B11" s="476"/>
      <c r="C11" s="488">
        <f>SUBTOTAL(9,C10)</f>
      </c>
      <c r="D11" s="478"/>
      <c r="E11" s="479"/>
      <c r="F11" s="495">
        <f>F10</f>
      </c>
      <c r="G11" s="475"/>
    </row>
    <row customHeight="true" ht="16" r="12">
      <c r="A12" s="506" t="s">
        <v>258</v>
      </c>
      <c r="B12" s="507" t="s">
        <v>254</v>
      </c>
      <c r="C12" s="508">
        <v>7</v>
      </c>
      <c r="D12" s="509" t="s">
        <v>259</v>
      </c>
      <c r="E12" s="509">
        <v>7</v>
      </c>
      <c r="F12" s="510">
        <f>C12-E12</f>
      </c>
      <c r="G12" s="475"/>
    </row>
    <row customHeight="true" ht="16" r="13">
      <c r="A13" s="476" t="s">
        <v>246</v>
      </c>
      <c r="B13" s="476"/>
      <c r="C13" s="488">
        <f>SUBTOTAL(9,C12)</f>
      </c>
      <c r="D13" s="478"/>
      <c r="E13" s="479"/>
      <c r="F13" s="495">
        <f>F12</f>
      </c>
      <c r="G13" s="475"/>
    </row>
    <row customHeight="true" ht="16" r="14">
      <c r="A14" s="511" t="s">
        <v>260</v>
      </c>
      <c r="B14" s="512" t="s">
        <v>261</v>
      </c>
      <c r="C14" s="513">
        <v>15</v>
      </c>
      <c r="D14" s="514"/>
      <c r="E14" s="515"/>
      <c r="F14" s="516">
        <f t="shared" ref="F14:F15" si="1">C14-E14</f>
      </c>
      <c r="G14" s="475"/>
      <c r="H14" s="475"/>
    </row>
    <row customHeight="true" ht="16" r="15">
      <c r="A15" s="517" t="s">
        <v>246</v>
      </c>
      <c r="B15" s="518"/>
      <c r="C15" s="517">
        <f>SUM(C3,C5,C7,C11,C9,C13,C14)</f>
      </c>
      <c r="D15" s="519"/>
      <c r="E15" s="520"/>
      <c r="F15" s="517">
        <f t="shared" si="1"/>
      </c>
      <c r="G15" s="475"/>
      <c r="H15" s="475"/>
    </row>
    <row customHeight="true" ht="16" r="16">
      <c r="A16" s="475"/>
      <c r="B16" s="475"/>
      <c r="C16" s="475"/>
      <c r="D16" s="486"/>
      <c r="E16" s="486"/>
      <c r="F16" s="486"/>
      <c r="G16" s="475"/>
      <c r="H16" s="475"/>
    </row>
    <row customHeight="true" ht="16" r="17">
      <c r="A17" s="475"/>
      <c r="B17" s="475"/>
      <c r="C17" s="475"/>
      <c r="D17" s="486"/>
      <c r="E17" s="486"/>
      <c r="F17" s="486"/>
      <c r="G17" s="475"/>
      <c r="H17" s="475"/>
    </row>
    <row r="18">
      <c r="B18" s="475"/>
      <c r="C18" s="479" t="s">
        <v>262</v>
      </c>
      <c r="D18" s="521" t="s">
        <v>238</v>
      </c>
      <c r="E18" s="521" t="s">
        <v>263</v>
      </c>
      <c r="F18" s="521" t="s">
        <v>241</v>
      </c>
      <c r="G18" s="475"/>
    </row>
    <row r="19">
      <c r="B19" s="475"/>
      <c r="C19" s="522" t="s">
        <v>249</v>
      </c>
      <c r="D19" s="523">
        <f>SUMIF(D2:D15,"Huyền",C2:C15)</f>
      </c>
      <c r="E19" s="523">
        <f>SUMIF(D2:D15,"Huyền",E2:E15)</f>
      </c>
      <c r="F19" s="523">
        <f t="shared" ref="F19:F24" si="0">D19-E19</f>
      </c>
      <c r="G19" s="475"/>
    </row>
    <row r="20">
      <c r="B20" s="475"/>
      <c r="C20" s="521" t="s">
        <v>252</v>
      </c>
      <c r="D20" s="479">
        <f>SUMIF(D2:D15,"Hoa",C2:C15)</f>
      </c>
      <c r="E20" s="523">
        <f>SUMIF(D2:D15,"Hoa",E2:E15)</f>
      </c>
      <c r="F20" s="479">
        <f t="shared" si="0"/>
      </c>
      <c r="G20" s="475"/>
    </row>
    <row r="21">
      <c r="B21" s="475"/>
      <c r="C21" s="479" t="s">
        <v>255</v>
      </c>
      <c r="D21" s="524">
        <f>SUMIF(D2:D15,"Thúy",C2:C15)</f>
      </c>
      <c r="E21" s="523">
        <f>SUMIF(D2:D15,"Thúy",E2:E15)</f>
      </c>
      <c r="F21" s="479">
        <f t="shared" si="0"/>
      </c>
      <c r="G21" s="475"/>
    </row>
    <row r="22">
      <c r="B22" s="475"/>
      <c r="C22" s="525" t="s">
        <v>264</v>
      </c>
      <c r="D22" s="526">
        <f>SUMIF(D2:D15,"Mai",C2:C15)</f>
      </c>
      <c r="E22" s="527">
        <f>SUMIF(D2:D15,"Mai",E2:E15)</f>
      </c>
      <c r="F22" s="479">
        <f t="shared" si="0"/>
      </c>
      <c r="G22" s="475"/>
    </row>
    <row r="23">
      <c r="B23" s="475"/>
      <c r="C23" s="521" t="s">
        <v>259</v>
      </c>
      <c r="D23" s="528">
        <f>SUMIF(D2:D15,"Ngân",C2:C15)</f>
      </c>
      <c r="E23" s="527">
        <f>SUMIF(D2:D15,"Ngân",E2:E15)</f>
      </c>
      <c r="F23" s="529">
        <f t="shared" si="0"/>
      </c>
      <c r="G23" s="475"/>
    </row>
    <row r="24">
      <c r="B24" s="475"/>
      <c r="C24" s="521" t="s">
        <v>246</v>
      </c>
      <c r="D24" s="479">
        <f>SUM(D19:D23)</f>
      </c>
      <c r="E24" s="479">
        <f>SUM(E19:E23)</f>
      </c>
      <c r="F24" s="529">
        <f t="shared" si="0"/>
      </c>
    </row>
    <row r="25">
      <c r="B25" s="486"/>
      <c r="C25" s="475"/>
      <c r="D25" s="475"/>
      <c r="E25" s="475"/>
    </row>
  </sheetData>
  <mergeCells>
    <mergeCell ref="A5:B5"/>
    <mergeCell ref="A7:B7"/>
    <mergeCell ref="A3:B3"/>
    <mergeCell ref="A11:B11"/>
    <mergeCell ref="A9:B9"/>
    <mergeCell ref="A13:B13"/>
    <mergeCell ref="A15:B15"/>
  </mergeCells>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 min="1" style="0" width="22"/>
    <col collapsed="false" customWidth="true" hidden="false" max="2" min="2" style="0" width="29"/>
    <col collapsed="false" customWidth="true" hidden="false" max="5" min="5" style="0" width="11"/>
    <col collapsed="false" customWidth="true" hidden="false" max="7" min="7" style="0" width="18"/>
    <col collapsed="false" customWidth="true" hidden="false" max="8" min="8" style="0" width="55"/>
  </cols>
  <sheetData>
    <row r="1">
      <c r="A1" s="530" t="s">
        <v>265</v>
      </c>
      <c r="B1" s="530" t="s">
        <v>266</v>
      </c>
      <c r="C1" s="531" t="s">
        <v>267</v>
      </c>
      <c r="D1" s="532" t="s">
        <v>268</v>
      </c>
      <c r="E1" s="533" t="s">
        <v>269</v>
      </c>
      <c r="F1" s="533" t="s">
        <v>270</v>
      </c>
      <c r="H1" s="534" t="s">
        <v>271</v>
      </c>
    </row>
    <row r="2">
      <c r="A2" s="535" t="s">
        <v>272</v>
      </c>
      <c r="B2" s="536" t="s">
        <v>273</v>
      </c>
      <c r="C2" s="535">
        <v>5</v>
      </c>
      <c r="D2" s="537" t="s">
        <v>274</v>
      </c>
      <c r="E2" s="538">
        <v>5</v>
      </c>
      <c r="F2" s="539">
        <f>C2-E2</f>
      </c>
      <c r="G2" s="540"/>
    </row>
    <row customHeight="true" ht="27" r="3">
      <c r="A3" s="541" t="s">
        <v>275</v>
      </c>
      <c r="B3" s="541"/>
      <c r="C3" s="542">
        <f>SUBTOTAL(9,C2)</f>
      </c>
      <c r="D3" s="543"/>
      <c r="E3" s="544"/>
      <c r="F3" s="545">
        <f>F2</f>
      </c>
      <c r="G3" s="540"/>
    </row>
    <row r="4">
      <c r="A4" s="546" t="s">
        <v>276</v>
      </c>
      <c r="B4" s="547" t="s">
        <v>277</v>
      </c>
      <c r="C4" s="548">
        <v>5</v>
      </c>
      <c r="D4" s="549" t="s">
        <v>278</v>
      </c>
      <c r="E4" s="550">
        <v>2</v>
      </c>
      <c r="F4" s="551">
        <f>C4-E4</f>
      </c>
      <c r="G4" s="552"/>
      <c r="I4" s="553"/>
    </row>
    <row customHeight="true" ht="14" r="5">
      <c r="A5" s="541" t="s">
        <v>275</v>
      </c>
      <c r="B5" s="541"/>
      <c r="C5" s="554">
        <f>SUBTOTAL(9,C4)</f>
      </c>
      <c r="D5" s="543"/>
      <c r="E5" s="544"/>
      <c r="F5" s="545">
        <f>F4</f>
      </c>
      <c r="G5" s="555"/>
    </row>
    <row customHeight="true" ht="28" r="6">
      <c r="A6" s="556" t="s">
        <v>279</v>
      </c>
      <c r="B6" s="557" t="s">
        <v>280</v>
      </c>
      <c r="C6" s="558">
        <v>3</v>
      </c>
      <c r="D6" s="559" t="s">
        <v>281</v>
      </c>
      <c r="E6" s="559">
        <v>3</v>
      </c>
      <c r="F6" s="560">
        <f t="shared" ref="F6:F7" si="0">C6-E6</f>
      </c>
      <c r="G6" s="540"/>
    </row>
    <row customHeight="true" ht="20" r="7">
      <c r="A7" s="556"/>
      <c r="B7" s="557"/>
      <c r="C7" s="558">
        <v>4</v>
      </c>
      <c r="D7" s="559" t="s">
        <v>282</v>
      </c>
      <c r="E7" s="559">
        <v>2</v>
      </c>
      <c r="F7" s="560">
        <f t="shared" si="0"/>
      </c>
      <c r="G7" s="540"/>
    </row>
    <row customHeight="true" ht="16" r="8">
      <c r="A8" s="541" t="s">
        <v>275</v>
      </c>
      <c r="B8" s="541"/>
      <c r="C8" s="554">
        <f>SUBTOTAL(9,C6,C7)</f>
      </c>
      <c r="D8" s="543"/>
      <c r="E8" s="544"/>
      <c r="F8" s="561">
        <f>SUM(F6:F7)</f>
      </c>
      <c r="G8" s="540"/>
    </row>
    <row r="9">
      <c r="A9" s="562" t="s">
        <v>283</v>
      </c>
      <c r="B9" s="563" t="s">
        <v>284</v>
      </c>
      <c r="C9" s="564">
        <v>5</v>
      </c>
      <c r="D9" s="565" t="s">
        <v>281</v>
      </c>
      <c r="E9" s="565">
        <v>5</v>
      </c>
      <c r="F9" s="566">
        <f>C9-E9</f>
      </c>
      <c r="G9" s="552"/>
    </row>
    <row customHeight="true" ht="16" r="10">
      <c r="A10" s="541" t="s">
        <v>275</v>
      </c>
      <c r="B10" s="541"/>
      <c r="C10" s="554">
        <f>SUBTOTAL(9,C9)</f>
      </c>
      <c r="D10" s="543"/>
      <c r="E10" s="544"/>
      <c r="F10" s="561">
        <f>F9</f>
      </c>
      <c r="G10" s="552"/>
    </row>
    <row customHeight="true" ht="25" r="11">
      <c r="A11" s="567" t="s">
        <v>285</v>
      </c>
      <c r="B11" s="568" t="s">
        <v>286</v>
      </c>
      <c r="C11" s="569">
        <v>5</v>
      </c>
      <c r="D11" s="570" t="s">
        <v>278</v>
      </c>
      <c r="E11" s="570"/>
      <c r="F11" s="571">
        <f t="shared" ref="F11:F12" si="1">C11-E11</f>
      </c>
      <c r="G11" s="552"/>
    </row>
    <row customHeight="true" ht="17" r="12">
      <c r="A12" s="567"/>
      <c r="B12" s="568"/>
      <c r="C12" s="569">
        <v>2</v>
      </c>
      <c r="D12" s="570" t="s">
        <v>274</v>
      </c>
      <c r="E12" s="572">
        <v>2</v>
      </c>
      <c r="F12" s="571">
        <f t="shared" si="1"/>
      </c>
      <c r="G12" s="552"/>
    </row>
    <row customHeight="true" ht="16" r="13">
      <c r="A13" s="541" t="s">
        <v>275</v>
      </c>
      <c r="B13" s="541"/>
      <c r="C13" s="554">
        <f>SUBTOTAL(9,C11,C12)</f>
      </c>
      <c r="D13" s="543"/>
      <c r="E13" s="544"/>
      <c r="F13" s="561">
        <f>SUM(F11:F12)</f>
      </c>
      <c r="G13" s="540"/>
    </row>
    <row customHeight="true" ht="24" r="14">
      <c r="A14" s="573" t="s">
        <v>287</v>
      </c>
      <c r="B14" s="574" t="s">
        <v>288</v>
      </c>
      <c r="C14" s="575">
        <v>3</v>
      </c>
      <c r="D14" s="576" t="s">
        <v>274</v>
      </c>
      <c r="E14" s="576"/>
      <c r="F14" s="577">
        <f>C14-E14</f>
      </c>
      <c r="G14" s="540"/>
    </row>
    <row customHeight="true" ht="20" r="15">
      <c r="A15" s="541" t="s">
        <v>275</v>
      </c>
      <c r="B15" s="541"/>
      <c r="C15" s="554">
        <f>SUBTOTAL(9,C14)</f>
      </c>
      <c r="D15" s="543"/>
      <c r="E15" s="544"/>
      <c r="F15" s="561">
        <f>F14</f>
      </c>
      <c r="G15" s="540"/>
    </row>
    <row customHeight="true" ht="20" r="16">
      <c r="A16" s="573" t="s">
        <v>289</v>
      </c>
      <c r="B16" s="574" t="s">
        <v>290</v>
      </c>
      <c r="C16" s="575">
        <v>3</v>
      </c>
      <c r="D16" s="576" t="s">
        <v>282</v>
      </c>
      <c r="E16" s="576">
        <v>3</v>
      </c>
      <c r="F16" s="575">
        <v>0</v>
      </c>
      <c r="G16" s="540"/>
    </row>
    <row customHeight="true" ht="20" r="17">
      <c r="A17" s="578" t="s">
        <v>275</v>
      </c>
      <c r="B17" s="578"/>
      <c r="C17" s="579">
        <f>SUBTOTAL(9,C16)</f>
      </c>
      <c r="D17" s="580"/>
      <c r="E17" s="581"/>
      <c r="F17" s="561">
        <f>F16</f>
      </c>
      <c r="G17" s="540"/>
    </row>
    <row customHeight="true" ht="25" r="18">
      <c r="A18" s="546" t="s">
        <v>291</v>
      </c>
      <c r="B18" s="582" t="s">
        <v>292</v>
      </c>
      <c r="C18" s="548">
        <v>5</v>
      </c>
      <c r="D18" s="549" t="s">
        <v>274</v>
      </c>
      <c r="E18" s="583"/>
      <c r="F18" s="551">
        <f>C18-E18</f>
      </c>
      <c r="G18" s="540"/>
    </row>
    <row customHeight="true" ht="19" r="19">
      <c r="A19" s="541" t="s">
        <v>275</v>
      </c>
      <c r="B19" s="541"/>
      <c r="C19" s="554">
        <f>SUBTOTAL(9,C18)</f>
      </c>
      <c r="D19" s="543"/>
      <c r="E19" s="544"/>
      <c r="F19" s="561">
        <f>F18</f>
      </c>
      <c r="G19" s="540"/>
    </row>
    <row customHeight="true" ht="16" r="20">
      <c r="A20" s="584" t="s">
        <v>293</v>
      </c>
      <c r="B20" s="585" t="s">
        <v>294</v>
      </c>
      <c r="C20" s="586">
        <v>15</v>
      </c>
      <c r="D20" s="587"/>
      <c r="E20" s="588"/>
      <c r="F20" s="579">
        <f t="shared" ref="F20:F21" si="2">C20-E20</f>
      </c>
      <c r="G20" s="540"/>
      <c r="H20" s="540"/>
    </row>
    <row customHeight="true" ht="16" r="21">
      <c r="A21" s="589" t="s">
        <v>275</v>
      </c>
      <c r="B21" s="590"/>
      <c r="C21" s="589">
        <f>SUM(C3,C5,C8,C13,C10,C20,C15,C17,C19)</f>
      </c>
      <c r="D21" s="591"/>
      <c r="E21" s="592"/>
      <c r="F21" s="589">
        <f t="shared" si="2"/>
      </c>
      <c r="G21" s="540"/>
      <c r="H21" s="540"/>
    </row>
    <row customHeight="true" ht="16" r="22">
      <c r="A22" s="540"/>
      <c r="B22" s="540"/>
      <c r="C22" s="540"/>
      <c r="D22" s="552"/>
      <c r="E22" s="552"/>
      <c r="F22" s="552"/>
      <c r="G22" s="540"/>
      <c r="H22" s="540"/>
    </row>
    <row customHeight="true" ht="16" r="23">
      <c r="A23" s="540"/>
      <c r="B23" s="540"/>
      <c r="C23" s="540"/>
      <c r="D23" s="552"/>
      <c r="E23" s="552"/>
      <c r="F23" s="552"/>
      <c r="G23" s="540"/>
      <c r="H23" s="540"/>
    </row>
    <row r="24">
      <c r="B24" s="540"/>
      <c r="C24" s="544" t="s">
        <v>295</v>
      </c>
      <c r="D24" s="593" t="s">
        <v>267</v>
      </c>
      <c r="E24" s="593" t="s">
        <v>296</v>
      </c>
      <c r="F24" s="593" t="s">
        <v>270</v>
      </c>
      <c r="G24" s="540"/>
    </row>
    <row r="25">
      <c r="B25" s="540"/>
      <c r="C25" s="594" t="s">
        <v>274</v>
      </c>
      <c r="D25" s="595">
        <f>SUMIF(D2:D21,"Huyền",C2:C21)</f>
      </c>
      <c r="E25" s="595">
        <f>SUMIF(D2:D21,"Huyền",E2:E21)</f>
      </c>
      <c r="F25" s="595">
        <f t="shared" ref="F25:F30" si="3">D25-E25</f>
      </c>
      <c r="G25" s="540"/>
    </row>
    <row r="26">
      <c r="B26" s="540"/>
      <c r="C26" s="593" t="s">
        <v>281</v>
      </c>
      <c r="D26" s="544">
        <f>SUMIF(D2:D21,"Hoa",C2:C21)</f>
      </c>
      <c r="E26" s="595">
        <f>SUMIF(D2:D21,"Hoa",E2:E21)</f>
      </c>
      <c r="F26" s="544">
        <f t="shared" si="3"/>
      </c>
      <c r="G26" s="540"/>
    </row>
    <row r="27">
      <c r="B27" s="540"/>
      <c r="C27" s="544" t="s">
        <v>278</v>
      </c>
      <c r="D27" s="581">
        <f>SUMIF(D2:D21,"Thúy",C2:C21)</f>
      </c>
      <c r="E27" s="595">
        <f>SUMIF(D2:D21,"Thúy",E2:E21)</f>
      </c>
      <c r="F27" s="544">
        <f t="shared" si="3"/>
      </c>
      <c r="G27" s="540"/>
    </row>
    <row r="28">
      <c r="B28" s="540"/>
      <c r="C28" s="596" t="s">
        <v>297</v>
      </c>
      <c r="D28" s="597">
        <f>SUMIF(D2:D21,"Mai",C2:C21)</f>
      </c>
      <c r="E28" s="598">
        <f>SUMIF(D2:D21,"Mai",E2:E21)</f>
      </c>
      <c r="F28" s="544">
        <f t="shared" si="3"/>
      </c>
      <c r="G28" s="540"/>
    </row>
    <row r="29">
      <c r="B29" s="540"/>
      <c r="C29" s="593" t="s">
        <v>282</v>
      </c>
      <c r="D29" s="599">
        <f>SUMIF(D2:D21,"Ngân",C2:C21)</f>
      </c>
      <c r="E29" s="598">
        <f>SUMIF(D2:D21,"Ngân",E2:E21)</f>
      </c>
      <c r="F29" s="600">
        <f t="shared" si="3"/>
      </c>
      <c r="G29" s="540"/>
    </row>
    <row r="30">
      <c r="B30" s="540"/>
      <c r="C30" s="593" t="s">
        <v>275</v>
      </c>
      <c r="D30" s="544">
        <f>SUM(D25:D29)</f>
      </c>
      <c r="E30" s="544">
        <f>SUM(E25:E29)</f>
      </c>
      <c r="F30" s="600">
        <f t="shared" si="3"/>
      </c>
    </row>
    <row r="31">
      <c r="B31" s="552"/>
      <c r="C31" s="540"/>
      <c r="D31" s="540"/>
      <c r="E31" s="540"/>
    </row>
  </sheetData>
  <mergeCells>
    <mergeCell ref="A17:B17"/>
    <mergeCell ref="A15:B15"/>
    <mergeCell ref="A21:B21"/>
    <mergeCell ref="A19:B19"/>
    <mergeCell ref="B11:B12"/>
    <mergeCell ref="A11:A12"/>
    <mergeCell ref="A13:B13"/>
    <mergeCell ref="A6:A7"/>
    <mergeCell ref="B6:B7"/>
    <mergeCell ref="A8:B8"/>
    <mergeCell ref="A10:B10"/>
    <mergeCell ref="A3:B3"/>
    <mergeCell ref="A5:B5"/>
  </mergeCells>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3" min="3" style="0" width="22"/>
    <col collapsed="false" customWidth="true" hidden="false" max="4" min="4" style="0" width="29"/>
    <col collapsed="false" customWidth="true" hidden="false" max="7" min="7" style="0" width="11"/>
    <col collapsed="false" customWidth="true" hidden="false" max="9" min="9" style="0" width="18"/>
    <col collapsed="false" customWidth="true" hidden="false" max="10" min="10" style="0" width="55"/>
    <col collapsed="false" customWidth="true" hidden="false" max="1" min="1" style="0" width="22"/>
    <col collapsed="false" customWidth="true" hidden="false" max="2" min="2" style="0" width="22"/>
  </cols>
  <sheetData>
    <row r="1">
      <c r="A1" s="601" t="s">
        <v>298</v>
      </c>
      <c r="B1" s="601" t="s">
        <v>299</v>
      </c>
      <c r="C1" s="602" t="s">
        <v>300</v>
      </c>
      <c r="D1" s="601" t="s">
        <v>301</v>
      </c>
      <c r="E1" s="603" t="s">
        <v>302</v>
      </c>
      <c r="F1" s="604" t="s">
        <v>303</v>
      </c>
      <c r="G1" s="601" t="s">
        <v>304</v>
      </c>
      <c r="H1" s="601" t="s">
        <v>305</v>
      </c>
      <c r="I1" s="605" t="s">
        <v>306</v>
      </c>
      <c r="J1" s="606" t="s">
        <v>307</v>
      </c>
    </row>
    <row r="2">
      <c r="A2" s="607" t="s">
        <v>308</v>
      </c>
      <c r="B2" s="608" t="s">
        <v>309</v>
      </c>
      <c r="C2" s="609" t="s">
        <v>310</v>
      </c>
      <c r="D2" s="610" t="s">
        <v>311</v>
      </c>
      <c r="E2" s="609">
        <v>7</v>
      </c>
      <c r="F2" s="611" t="s">
        <v>312</v>
      </c>
      <c r="G2" s="611"/>
      <c r="H2" s="612">
        <f t="shared" ref="H2:H3" si="0">E2-G2</f>
      </c>
      <c r="I2" s="613"/>
    </row>
    <row customHeight="true" ht="16" r="3">
      <c r="A3" s="607"/>
      <c r="B3" s="608"/>
      <c r="C3" s="614" t="s">
        <v>313</v>
      </c>
      <c r="D3" s="615" t="s">
        <v>314</v>
      </c>
      <c r="E3" s="607">
        <v>5</v>
      </c>
      <c r="F3" s="616" t="s">
        <v>315</v>
      </c>
      <c r="G3" s="616"/>
      <c r="H3" s="617">
        <f t="shared" si="0"/>
      </c>
      <c r="I3" s="618"/>
      <c r="J3" s="618"/>
    </row>
    <row customHeight="true" ht="16" r="4">
      <c r="A4" s="607"/>
      <c r="B4" s="608"/>
      <c r="C4" s="619" t="s">
        <v>316</v>
      </c>
      <c r="D4" s="619"/>
      <c r="E4" s="620">
        <f>SUM(E2:E3)</f>
      </c>
      <c r="F4" s="621"/>
      <c r="G4" s="622"/>
      <c r="H4" s="620">
        <f>SUM(H2:H3)</f>
      </c>
      <c r="I4" s="623"/>
    </row>
    <row customHeight="true" ht="16" r="5">
      <c r="A5" s="607"/>
      <c r="B5" s="608" t="s">
        <v>317</v>
      </c>
      <c r="C5" s="624" t="s">
        <v>318</v>
      </c>
      <c r="D5" s="625" t="s">
        <v>319</v>
      </c>
      <c r="E5" s="626">
        <v>3</v>
      </c>
      <c r="F5" s="627" t="s">
        <v>320</v>
      </c>
      <c r="G5" s="628"/>
      <c r="H5" s="629">
        <f>E5-G5</f>
      </c>
    </row>
    <row customHeight="true" ht="16" r="6">
      <c r="A6" s="607"/>
      <c r="B6" s="608"/>
      <c r="C6" s="630" t="s">
        <v>316</v>
      </c>
      <c r="D6" s="630"/>
      <c r="E6" s="631">
        <f>SUBTOTAL(9,E5)</f>
      </c>
      <c r="F6" s="632"/>
      <c r="G6" s="633"/>
      <c r="H6" s="620">
        <f>H5</f>
      </c>
    </row>
    <row customHeight="true" ht="16" r="7">
      <c r="A7" s="634" t="s">
        <v>321</v>
      </c>
      <c r="B7" s="634"/>
      <c r="C7" s="634"/>
      <c r="D7" s="634"/>
      <c r="E7" s="635">
        <f>SUM(E4,E6)</f>
      </c>
      <c r="F7" s="636"/>
      <c r="G7" s="636"/>
      <c r="H7" s="635">
        <f>SUM(H4,H6)</f>
      </c>
      <c r="I7" s="623"/>
      <c r="K7" s="637"/>
    </row>
    <row r="8">
      <c r="A8" s="638" t="s">
        <v>322</v>
      </c>
      <c r="B8" s="639" t="s">
        <v>323</v>
      </c>
      <c r="C8" s="638" t="s">
        <v>324</v>
      </c>
      <c r="D8" s="640" t="s">
        <v>325</v>
      </c>
      <c r="E8" s="641">
        <v>3</v>
      </c>
      <c r="F8" s="642" t="s">
        <v>312</v>
      </c>
      <c r="G8" s="642"/>
      <c r="H8" s="643">
        <f t="shared" ref="H8:H10" si="1">E8-G8</f>
      </c>
      <c r="I8" s="623"/>
      <c r="K8" s="637"/>
    </row>
    <row customHeight="true" ht="28" r="9">
      <c r="A9" s="638"/>
      <c r="B9" s="639"/>
      <c r="C9" s="644" t="s">
        <v>326</v>
      </c>
      <c r="D9" s="645" t="s">
        <v>327</v>
      </c>
      <c r="E9" s="646">
        <v>5</v>
      </c>
      <c r="F9" s="647" t="s">
        <v>320</v>
      </c>
      <c r="G9" s="648"/>
      <c r="H9" s="649">
        <f t="shared" si="1"/>
      </c>
      <c r="I9" s="613"/>
      <c r="J9" s="613"/>
    </row>
    <row customHeight="true" ht="28" r="10">
      <c r="A10" s="638"/>
      <c r="B10" s="639"/>
      <c r="C10" s="650" t="s">
        <v>328</v>
      </c>
      <c r="D10" s="651" t="s">
        <v>329</v>
      </c>
      <c r="E10" s="607">
        <v>3</v>
      </c>
      <c r="F10" s="616" t="s">
        <v>330</v>
      </c>
      <c r="G10" s="652">
        <v>2</v>
      </c>
      <c r="H10" s="653">
        <f t="shared" si="1"/>
      </c>
      <c r="I10" s="613"/>
      <c r="J10" s="613"/>
    </row>
    <row customHeight="true" ht="16" r="11">
      <c r="A11" s="638"/>
      <c r="B11" s="639"/>
      <c r="C11" s="619" t="s">
        <v>316</v>
      </c>
      <c r="D11" s="619"/>
      <c r="E11" s="620">
        <f>SUM(E8:E10)</f>
      </c>
      <c r="F11" s="621"/>
      <c r="G11" s="622"/>
      <c r="H11" s="620">
        <f>SUM(H8:H10)</f>
      </c>
      <c r="I11" s="613"/>
    </row>
    <row customHeight="true" ht="28" r="12">
      <c r="A12" s="638"/>
      <c r="B12" s="639" t="s">
        <v>317</v>
      </c>
      <c r="C12" s="654" t="s">
        <v>331</v>
      </c>
      <c r="D12" s="655" t="s">
        <v>332</v>
      </c>
      <c r="E12" s="656">
        <v>8</v>
      </c>
      <c r="F12" s="657" t="s">
        <v>333</v>
      </c>
      <c r="G12" s="657"/>
      <c r="H12" s="658">
        <f t="shared" ref="H12:H13" si="2">E12-G12</f>
      </c>
      <c r="I12" s="613"/>
    </row>
    <row customHeight="true" ht="20" r="13">
      <c r="A13" s="638"/>
      <c r="B13" s="639"/>
      <c r="C13" s="659" t="s">
        <v>334</v>
      </c>
      <c r="D13" s="660" t="s">
        <v>335</v>
      </c>
      <c r="E13" s="626">
        <v>3</v>
      </c>
      <c r="F13" s="627" t="s">
        <v>330</v>
      </c>
      <c r="G13" s="627">
        <v>3</v>
      </c>
      <c r="H13" s="661">
        <f t="shared" si="2"/>
      </c>
      <c r="I13" s="623"/>
    </row>
    <row customHeight="true" ht="20" r="14">
      <c r="A14" s="638"/>
      <c r="B14" s="639"/>
      <c r="C14" s="659"/>
      <c r="D14" s="660" t="s">
        <v>336</v>
      </c>
      <c r="E14" s="626">
        <v>2</v>
      </c>
      <c r="F14" s="627" t="s">
        <v>320</v>
      </c>
      <c r="G14" s="627"/>
      <c r="H14" s="661"/>
      <c r="I14" s="623"/>
    </row>
    <row customHeight="true" ht="24" r="15">
      <c r="A15" s="638"/>
      <c r="B15" s="639"/>
      <c r="C15" s="662" t="s">
        <v>337</v>
      </c>
      <c r="D15" s="663" t="s">
        <v>335</v>
      </c>
      <c r="E15" s="664">
        <v>3</v>
      </c>
      <c r="F15" s="665" t="s">
        <v>312</v>
      </c>
      <c r="G15" s="666"/>
      <c r="H15" s="667">
        <f>E15-G15</f>
      </c>
      <c r="I15" s="613"/>
    </row>
    <row customHeight="true" ht="16" r="16">
      <c r="A16" s="638"/>
      <c r="B16" s="639"/>
      <c r="C16" s="619" t="s">
        <v>316</v>
      </c>
      <c r="D16" s="619"/>
      <c r="E16" s="620">
        <f>SUM(E12:E15)</f>
      </c>
      <c r="F16" s="621"/>
      <c r="G16" s="622"/>
      <c r="H16" s="620">
        <f>SUM(H12:H15)</f>
      </c>
      <c r="I16" s="613"/>
    </row>
    <row customHeight="true" ht="26" r="17">
      <c r="A17" s="638"/>
      <c r="B17" s="608" t="s">
        <v>309</v>
      </c>
      <c r="C17" s="662" t="s">
        <v>338</v>
      </c>
      <c r="D17" s="663" t="s">
        <v>339</v>
      </c>
      <c r="E17" s="664">
        <v>3</v>
      </c>
      <c r="F17" s="665" t="s">
        <v>315</v>
      </c>
      <c r="G17" s="665"/>
      <c r="H17" s="667">
        <f t="shared" ref="H17:H18" si="3">E17-G17</f>
      </c>
      <c r="I17" s="623" t="s">
        <v>340</v>
      </c>
    </row>
    <row customHeight="true" ht="26" r="18">
      <c r="A18" s="638"/>
      <c r="B18" s="608"/>
      <c r="C18" s="638" t="s">
        <v>341</v>
      </c>
      <c r="D18" s="668" t="s">
        <v>342</v>
      </c>
      <c r="E18" s="641">
        <v>3</v>
      </c>
      <c r="F18" s="642" t="s">
        <v>315</v>
      </c>
      <c r="G18" s="669"/>
      <c r="H18" s="643">
        <f t="shared" si="3"/>
      </c>
      <c r="I18" s="613"/>
    </row>
    <row customHeight="true" ht="26" r="19">
      <c r="A19" s="638"/>
      <c r="B19" s="608"/>
      <c r="C19" s="638"/>
      <c r="D19" s="668" t="s">
        <v>343</v>
      </c>
      <c r="E19" s="641">
        <v>2</v>
      </c>
      <c r="F19" s="642" t="s">
        <v>312</v>
      </c>
      <c r="G19" s="669"/>
      <c r="H19" s="643"/>
    </row>
    <row customHeight="true" ht="26" r="20">
      <c r="A20" s="638"/>
      <c r="B20" s="608"/>
      <c r="C20" s="644" t="s">
        <v>344</v>
      </c>
      <c r="D20" s="645" t="s">
        <v>342</v>
      </c>
      <c r="E20" s="646">
        <v>3</v>
      </c>
      <c r="F20" s="647" t="s">
        <v>330</v>
      </c>
      <c r="G20" s="648">
        <v>3</v>
      </c>
      <c r="H20" s="649">
        <f>E20-G20</f>
      </c>
      <c r="I20" s="613"/>
      <c r="J20" s="613"/>
    </row>
    <row customHeight="true" ht="15" r="21">
      <c r="A21" s="638"/>
      <c r="B21" s="608"/>
      <c r="C21" s="630" t="s">
        <v>316</v>
      </c>
      <c r="D21" s="630"/>
      <c r="E21" s="631">
        <f>SUM(E17:E20)</f>
      </c>
      <c r="F21" s="632"/>
      <c r="G21" s="633"/>
      <c r="H21" s="631">
        <f>SUM(H17:H20)</f>
      </c>
      <c r="I21" s="613"/>
      <c r="J21" s="613"/>
    </row>
    <row customHeight="true" ht="26" r="22">
      <c r="A22" s="638"/>
      <c r="B22" s="639" t="s">
        <v>345</v>
      </c>
      <c r="C22" s="654" t="s">
        <v>346</v>
      </c>
      <c r="D22" s="670" t="s">
        <v>347</v>
      </c>
      <c r="E22" s="656">
        <v>3</v>
      </c>
      <c r="F22" s="657" t="s">
        <v>312</v>
      </c>
      <c r="G22" s="671"/>
      <c r="H22" s="672">
        <f t="shared" ref="H22:H23" si="4">E22-G22</f>
      </c>
      <c r="I22" s="613"/>
      <c r="J22" s="613"/>
    </row>
    <row customHeight="true" ht="26" r="23">
      <c r="A23" s="638"/>
      <c r="B23" s="639"/>
      <c r="C23" s="662" t="s">
        <v>348</v>
      </c>
      <c r="D23" s="663" t="s">
        <v>347</v>
      </c>
      <c r="E23" s="664">
        <v>3</v>
      </c>
      <c r="F23" s="665" t="s">
        <v>315</v>
      </c>
      <c r="G23" s="665"/>
      <c r="H23" s="667">
        <f t="shared" si="4"/>
      </c>
      <c r="I23" s="613"/>
    </row>
    <row customHeight="true" ht="13" r="24">
      <c r="A24" s="638"/>
      <c r="B24" s="639"/>
      <c r="C24" s="630" t="s">
        <v>316</v>
      </c>
      <c r="D24" s="630"/>
      <c r="E24" s="631">
        <f>SUM(E22:E23)</f>
      </c>
      <c r="F24" s="632"/>
      <c r="G24" s="633"/>
      <c r="H24" s="631">
        <f>SUM(H22:H23)</f>
      </c>
      <c r="I24" s="613"/>
    </row>
    <row customHeight="true" ht="16" r="25">
      <c r="A25" s="634" t="s">
        <v>321</v>
      </c>
      <c r="B25" s="634"/>
      <c r="C25" s="634"/>
      <c r="D25" s="634"/>
      <c r="E25" s="635">
        <f>SUM(E11,E16,E21,E24)</f>
      </c>
      <c r="F25" s="636"/>
      <c r="G25" s="673"/>
      <c r="H25" s="635">
        <f>SUM(H11,H16,H21,H24)</f>
      </c>
      <c r="I25" s="613"/>
    </row>
    <row customHeight="true" ht="26" r="26">
      <c r="A26" s="654" t="s">
        <v>349</v>
      </c>
      <c r="B26" s="639" t="s">
        <v>309</v>
      </c>
      <c r="C26" s="638" t="s">
        <v>350</v>
      </c>
      <c r="D26" s="668" t="s">
        <v>351</v>
      </c>
      <c r="E26" s="641">
        <v>5</v>
      </c>
      <c r="F26" s="642" t="s">
        <v>320</v>
      </c>
      <c r="G26" s="669"/>
      <c r="H26" s="643">
        <f t="shared" ref="H26:H28" si="5">E26-G26</f>
      </c>
      <c r="I26" s="674" t="s">
        <v>352</v>
      </c>
    </row>
    <row customHeight="true" ht="23" r="27">
      <c r="A27" s="654"/>
      <c r="B27" s="639"/>
      <c r="C27" s="650" t="s">
        <v>353</v>
      </c>
      <c r="D27" s="675" t="s">
        <v>354</v>
      </c>
      <c r="E27" s="607">
        <v>3</v>
      </c>
      <c r="F27" s="616" t="s">
        <v>330</v>
      </c>
      <c r="G27" s="652"/>
      <c r="H27" s="653">
        <f t="shared" si="5"/>
      </c>
      <c r="I27" s="613"/>
      <c r="J27" s="613"/>
    </row>
    <row customHeight="true" ht="16" r="28">
      <c r="A28" s="654"/>
      <c r="B28" s="639"/>
      <c r="C28" s="676" t="s">
        <v>355</v>
      </c>
      <c r="D28" s="677" t="s">
        <v>349</v>
      </c>
      <c r="E28" s="678">
        <v>5</v>
      </c>
      <c r="F28" s="679" t="s">
        <v>330</v>
      </c>
      <c r="G28" s="680"/>
      <c r="H28" s="681">
        <f t="shared" si="5"/>
      </c>
    </row>
    <row customHeight="true" ht="16" r="29">
      <c r="A29" s="654"/>
      <c r="B29" s="639"/>
      <c r="C29" s="630" t="s">
        <v>316</v>
      </c>
      <c r="D29" s="630"/>
      <c r="E29" s="631">
        <f>SUM(E26:E28)</f>
      </c>
      <c r="F29" s="632"/>
      <c r="G29" s="633"/>
      <c r="H29" s="631">
        <f>SUM(H26:H28)</f>
      </c>
    </row>
    <row customHeight="true" ht="16" r="30">
      <c r="A30" s="654"/>
      <c r="B30" s="639" t="s">
        <v>323</v>
      </c>
      <c r="C30" s="624" t="s">
        <v>356</v>
      </c>
      <c r="D30" s="682" t="s">
        <v>349</v>
      </c>
      <c r="E30" s="626">
        <v>4</v>
      </c>
      <c r="F30" s="627" t="s">
        <v>315</v>
      </c>
      <c r="G30" s="628"/>
      <c r="H30" s="629">
        <f t="shared" ref="H30:H31" si="6">E30-G30</f>
      </c>
      <c r="I30" s="613"/>
      <c r="J30" s="613"/>
    </row>
    <row customHeight="true" ht="16" r="31">
      <c r="A31" s="654"/>
      <c r="B31" s="639"/>
      <c r="C31" s="644" t="s">
        <v>326</v>
      </c>
      <c r="D31" s="645" t="s">
        <v>349</v>
      </c>
      <c r="E31" s="646">
        <v>3</v>
      </c>
      <c r="F31" s="647" t="s">
        <v>320</v>
      </c>
      <c r="G31" s="648"/>
      <c r="H31" s="649">
        <f t="shared" si="6"/>
      </c>
      <c r="I31" s="613"/>
      <c r="J31" s="613"/>
    </row>
    <row customHeight="true" ht="16" r="32">
      <c r="A32" s="654"/>
      <c r="B32" s="639"/>
      <c r="C32" s="630" t="s">
        <v>316</v>
      </c>
      <c r="D32" s="630"/>
      <c r="E32" s="631">
        <f>SUM(E30:E31)</f>
      </c>
      <c r="F32" s="632"/>
      <c r="G32" s="633"/>
      <c r="H32" s="631">
        <f>SUM(H30:H31)</f>
      </c>
      <c r="I32" s="613"/>
      <c r="J32" s="613"/>
    </row>
    <row customHeight="true" ht="16" r="33">
      <c r="A33" s="634" t="s">
        <v>321</v>
      </c>
      <c r="B33" s="634"/>
      <c r="C33" s="634"/>
      <c r="D33" s="634"/>
      <c r="E33" s="635">
        <f>SUM(E29,E32)</f>
      </c>
      <c r="F33" s="636"/>
      <c r="G33" s="673"/>
      <c r="H33" s="635">
        <f>SUM(H29,H32)</f>
      </c>
      <c r="I33" s="613"/>
    </row>
    <row customHeight="true" ht="32" r="34">
      <c r="A34" s="624" t="s">
        <v>357</v>
      </c>
      <c r="B34" s="639" t="s">
        <v>358</v>
      </c>
      <c r="C34" s="624" t="s">
        <v>359</v>
      </c>
      <c r="D34" s="682" t="s">
        <v>360</v>
      </c>
      <c r="E34" s="626">
        <v>15</v>
      </c>
      <c r="F34" s="627"/>
      <c r="G34" s="628"/>
      <c r="H34" s="629">
        <f>E34-G34</f>
      </c>
      <c r="I34" s="613"/>
      <c r="J34" s="613"/>
    </row>
    <row customHeight="true" ht="16" r="35">
      <c r="A35" s="635"/>
      <c r="B35" s="635"/>
      <c r="C35" s="635" t="s">
        <v>316</v>
      </c>
      <c r="D35" s="683"/>
      <c r="E35" s="635">
        <f>SUM(E7,E25,E33,E34)</f>
      </c>
      <c r="F35" s="636"/>
      <c r="G35" s="684"/>
      <c r="H35" s="635">
        <f>SUM(H7,H25,H33,H34)</f>
      </c>
      <c r="I35" s="613"/>
      <c r="J35" s="613"/>
    </row>
    <row customHeight="true" ht="16" r="36">
      <c r="B36" s="613"/>
      <c r="C36" s="613"/>
      <c r="D36" s="613"/>
      <c r="E36" s="613"/>
      <c r="F36" s="623"/>
      <c r="G36" s="623"/>
      <c r="H36" s="623"/>
      <c r="I36" s="613"/>
      <c r="J36" s="613"/>
    </row>
    <row customHeight="true" ht="16" r="37">
      <c r="B37" s="613"/>
      <c r="C37" s="613"/>
      <c r="D37" s="613"/>
      <c r="E37" s="613"/>
      <c r="F37" s="623"/>
      <c r="G37" s="623"/>
      <c r="H37" s="623"/>
      <c r="I37" s="613"/>
      <c r="J37" s="613"/>
    </row>
    <row r="38">
      <c r="D38" s="613"/>
      <c r="E38" s="622" t="s">
        <v>361</v>
      </c>
      <c r="F38" s="685" t="s">
        <v>302</v>
      </c>
      <c r="G38" s="685" t="s">
        <v>362</v>
      </c>
      <c r="H38" s="685" t="s">
        <v>305</v>
      </c>
      <c r="I38" s="613"/>
    </row>
    <row r="39">
      <c r="D39" s="613"/>
      <c r="E39" s="686" t="s">
        <v>320</v>
      </c>
      <c r="F39" s="687">
        <f>SUMIF(F2:F35,"Huyền",E2:E35)</f>
      </c>
      <c r="G39" s="687">
        <f>SUMIF(F2:F35,"Huyền",G2:G35)</f>
      </c>
      <c r="H39" s="687">
        <f t="shared" ref="H39:H44" si="7">F39-G39</f>
      </c>
      <c r="I39" s="613"/>
    </row>
    <row r="40">
      <c r="D40" s="613"/>
      <c r="E40" s="685" t="s">
        <v>330</v>
      </c>
      <c r="F40" s="622">
        <f>SUMIF(F2:F35,"Hoa",E2:E35)</f>
      </c>
      <c r="G40" s="687">
        <f>SUMIF(F2:F35,"Hoa",G2:G35)</f>
      </c>
      <c r="H40" s="622">
        <f t="shared" si="7"/>
      </c>
      <c r="I40" s="613"/>
    </row>
    <row r="41">
      <c r="D41" s="613"/>
      <c r="E41" s="622" t="s">
        <v>312</v>
      </c>
      <c r="F41" s="633">
        <f>SUMIF(F2:F35,"Thúy",E2:E35)</f>
      </c>
      <c r="G41" s="687">
        <f>SUMIF(F2:F35,"Thúy",G2:G35)</f>
      </c>
      <c r="H41" s="622">
        <f t="shared" si="7"/>
      </c>
      <c r="I41" s="613"/>
    </row>
    <row r="42">
      <c r="D42" s="613"/>
      <c r="E42" s="688" t="s">
        <v>333</v>
      </c>
      <c r="F42" s="689">
        <f>SUMIF(F2:F35,"Linh",E2:E35)</f>
      </c>
      <c r="G42" s="690">
        <f>SUMIF(F2:F35,"Mai",G2:G35)</f>
      </c>
      <c r="H42" s="622">
        <f t="shared" si="7"/>
      </c>
      <c r="I42" s="613"/>
    </row>
    <row r="43">
      <c r="D43" s="613"/>
      <c r="E43" s="685" t="s">
        <v>315</v>
      </c>
      <c r="F43" s="691">
        <f>SUMIF(F2:F35,"Ngân",E2:E35)</f>
      </c>
      <c r="G43" s="690">
        <f>SUMIF(F2:F35,"Ngân",G2:G35)</f>
      </c>
      <c r="H43" s="692">
        <f t="shared" si="7"/>
      </c>
      <c r="I43" s="613"/>
    </row>
    <row r="44">
      <c r="D44" s="613"/>
      <c r="E44" s="685" t="s">
        <v>316</v>
      </c>
      <c r="F44" s="622">
        <f>SUM(F39:F43)</f>
      </c>
      <c r="G44" s="622">
        <f>SUM(G39:G43)</f>
      </c>
      <c r="H44" s="692">
        <f t="shared" si="7"/>
      </c>
    </row>
    <row r="45">
      <c r="D45" s="623"/>
      <c r="E45" s="613"/>
      <c r="F45" s="613"/>
      <c r="G45" s="613"/>
    </row>
  </sheetData>
  <mergeCells>
    <mergeCell ref="B5:B6"/>
    <mergeCell ref="C6:D6"/>
    <mergeCell ref="A2:A6"/>
    <mergeCell ref="C4:D4"/>
    <mergeCell ref="B2:B4"/>
    <mergeCell ref="C11:D11"/>
    <mergeCell ref="B8:B11"/>
    <mergeCell ref="A7:D7"/>
    <mergeCell ref="C18:C19"/>
    <mergeCell ref="I17:I21"/>
    <mergeCell ref="A33:D33"/>
    <mergeCell ref="C35:D35"/>
    <mergeCell ref="A25:D25"/>
    <mergeCell ref="B30:B32"/>
    <mergeCell ref="B26:B29"/>
    <mergeCell ref="C32:D32"/>
    <mergeCell ref="C29:D29"/>
    <mergeCell ref="A26:A32"/>
    <mergeCell ref="A8:A24"/>
    <mergeCell ref="C24:D24"/>
    <mergeCell ref="B22:B24"/>
    <mergeCell ref="C21:D21"/>
    <mergeCell ref="B17:B21"/>
    <mergeCell ref="C16:D16"/>
    <mergeCell ref="B12:B16"/>
    <mergeCell ref="C13:C14"/>
  </mergeCells>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0" min="10" style="0" width="55"/>
    <col collapsed="false" customWidth="true" hidden="false" max="2" min="2" style="0" width="22"/>
    <col collapsed="false" customWidth="true" hidden="false" max="4" min="4" style="0" width="29"/>
    <col collapsed="false" customWidth="true" hidden="false" max="5" min="5" style="0" width="11"/>
    <col collapsed="false" customWidth="true" hidden="false" max="7" min="7" style="0" width="11"/>
    <col collapsed="false" customWidth="true" hidden="false" max="9" min="9" style="0" width="18"/>
    <col collapsed="false" customWidth="true" hidden="false" max="1" min="1" style="0" width="22"/>
    <col collapsed="false" customWidth="true" hidden="false" max="3" min="3" style="0" width="22"/>
  </cols>
  <sheetData>
    <row r="1">
      <c r="A1" s="693" t="s">
        <v>363</v>
      </c>
      <c r="B1" s="693" t="s">
        <v>364</v>
      </c>
      <c r="C1" s="694" t="s">
        <v>365</v>
      </c>
      <c r="D1" s="693" t="s">
        <v>366</v>
      </c>
      <c r="E1" s="695" t="s">
        <v>367</v>
      </c>
      <c r="F1" s="696" t="s">
        <v>368</v>
      </c>
      <c r="G1" s="693" t="s">
        <v>369</v>
      </c>
      <c r="H1" s="693" t="s">
        <v>370</v>
      </c>
      <c r="I1" s="697" t="s">
        <v>371</v>
      </c>
      <c r="J1" s="698" t="s">
        <v>372</v>
      </c>
    </row>
    <row customHeight="true" ht="21" r="2">
      <c r="A2" s="699" t="s">
        <v>373</v>
      </c>
      <c r="B2" s="700" t="s">
        <v>374</v>
      </c>
      <c r="C2" s="701" t="s">
        <v>375</v>
      </c>
      <c r="D2" s="702" t="s">
        <v>376</v>
      </c>
      <c r="E2" s="703">
        <v>4</v>
      </c>
      <c r="F2" s="704" t="s">
        <v>377</v>
      </c>
      <c r="G2" s="704"/>
      <c r="H2" s="705">
        <f t="shared" ref="H2:H5" si="0">E2-G2</f>
      </c>
      <c r="I2" s="706"/>
    </row>
    <row customHeight="true" ht="20" r="3">
      <c r="A3" s="699"/>
      <c r="B3" s="700"/>
      <c r="C3" s="701"/>
      <c r="D3" s="702" t="s">
        <v>378</v>
      </c>
      <c r="E3" s="703">
        <v>4</v>
      </c>
      <c r="F3" s="704" t="s">
        <v>377</v>
      </c>
      <c r="G3" s="704">
        <v>1</v>
      </c>
      <c r="H3" s="705">
        <f t="shared" si="0"/>
      </c>
      <c r="I3" s="706"/>
    </row>
    <row customHeight="true" ht="19" r="4">
      <c r="A4" s="699"/>
      <c r="B4" s="700"/>
      <c r="C4" s="701"/>
      <c r="D4" s="702" t="s">
        <v>379</v>
      </c>
      <c r="E4" s="703">
        <v>4</v>
      </c>
      <c r="F4" s="704" t="s">
        <v>380</v>
      </c>
      <c r="G4" s="704"/>
      <c r="H4" s="705">
        <f t="shared" si="0"/>
      </c>
      <c r="I4" s="706"/>
    </row>
    <row customHeight="true" ht="22" r="5">
      <c r="A5" s="699"/>
      <c r="B5" s="700"/>
      <c r="C5" s="701"/>
      <c r="D5" s="702" t="s">
        <v>381</v>
      </c>
      <c r="E5" s="703">
        <v>3</v>
      </c>
      <c r="F5" s="707" t="s">
        <v>382</v>
      </c>
      <c r="G5" s="707">
        <v>3</v>
      </c>
      <c r="H5" s="708">
        <f t="shared" si="0"/>
      </c>
      <c r="I5" s="709"/>
    </row>
    <row customHeight="true" ht="16" r="6">
      <c r="A6" s="710" t="s">
        <v>383</v>
      </c>
      <c r="B6" s="710"/>
      <c r="C6" s="710"/>
      <c r="D6" s="710"/>
      <c r="E6" s="711">
        <f>SUM(E2:E4)</f>
      </c>
      <c r="F6" s="712"/>
      <c r="G6" s="712"/>
      <c r="H6" s="711">
        <f>SUM(H2)</f>
      </c>
      <c r="I6" s="713"/>
      <c r="K6" s="714"/>
    </row>
    <row r="7">
      <c r="A7" s="715" t="s">
        <v>384</v>
      </c>
      <c r="B7" s="716" t="s">
        <v>385</v>
      </c>
      <c r="C7" s="715" t="s">
        <v>386</v>
      </c>
      <c r="D7" s="717" t="s">
        <v>387</v>
      </c>
      <c r="E7" s="718">
        <v>3</v>
      </c>
      <c r="F7" s="719" t="s">
        <v>382</v>
      </c>
      <c r="G7" s="719">
        <v>3</v>
      </c>
      <c r="H7" s="720">
        <f t="shared" ref="H7:H11" si="1">E7-G7</f>
      </c>
      <c r="I7" s="713"/>
      <c r="K7" s="714"/>
    </row>
    <row customHeight="true" ht="28" r="8">
      <c r="A8" s="715"/>
      <c r="B8" s="716"/>
      <c r="C8" s="721" t="s">
        <v>388</v>
      </c>
      <c r="D8" s="722" t="s">
        <v>389</v>
      </c>
      <c r="E8" s="723">
        <v>5</v>
      </c>
      <c r="F8" s="724" t="s">
        <v>382</v>
      </c>
      <c r="G8" s="724">
        <v>5</v>
      </c>
      <c r="H8" s="725">
        <f t="shared" si="1"/>
      </c>
      <c r="I8" s="706"/>
      <c r="J8" s="706"/>
    </row>
    <row customHeight="true" ht="28" r="9">
      <c r="A9" s="715"/>
      <c r="B9" s="716"/>
      <c r="C9" s="726" t="s">
        <v>390</v>
      </c>
      <c r="D9" s="727" t="s">
        <v>391</v>
      </c>
      <c r="E9" s="699">
        <v>3</v>
      </c>
      <c r="F9" s="728" t="s">
        <v>392</v>
      </c>
      <c r="G9" s="728"/>
      <c r="H9" s="729">
        <f t="shared" si="1"/>
      </c>
      <c r="I9" s="706"/>
      <c r="J9" s="706"/>
    </row>
    <row customHeight="true" ht="23" r="10">
      <c r="A10" s="715"/>
      <c r="B10" s="716"/>
      <c r="C10" s="730" t="s">
        <v>393</v>
      </c>
      <c r="D10" s="731" t="s">
        <v>394</v>
      </c>
      <c r="E10" s="732">
        <v>3</v>
      </c>
      <c r="F10" s="733" t="s">
        <v>395</v>
      </c>
      <c r="G10" s="733">
        <v>3</v>
      </c>
      <c r="H10" s="734">
        <f t="shared" si="1"/>
      </c>
      <c r="I10" s="706"/>
    </row>
    <row customHeight="true" ht="28" r="11">
      <c r="A11" s="715"/>
      <c r="B11" s="716"/>
      <c r="C11" s="735" t="s">
        <v>396</v>
      </c>
      <c r="D11" s="736" t="s">
        <v>397</v>
      </c>
      <c r="E11" s="737">
        <v>3</v>
      </c>
      <c r="F11" s="738" t="s">
        <v>392</v>
      </c>
      <c r="G11" s="738">
        <v>3</v>
      </c>
      <c r="H11" s="739">
        <f t="shared" si="1"/>
      </c>
      <c r="I11" s="706"/>
    </row>
    <row customHeight="true" ht="16" r="12">
      <c r="A12" s="715"/>
      <c r="B12" s="716"/>
      <c r="C12" s="740" t="s">
        <v>398</v>
      </c>
      <c r="D12" s="740"/>
      <c r="E12" s="741">
        <f>SUM(E7:E11)</f>
      </c>
      <c r="F12" s="742"/>
      <c r="G12" s="743"/>
      <c r="H12" s="741">
        <f>SUM(H7:H11)</f>
      </c>
      <c r="I12" s="706"/>
    </row>
    <row customHeight="true" ht="28" r="13">
      <c r="A13" s="715"/>
      <c r="B13" s="716" t="s">
        <v>399</v>
      </c>
      <c r="C13" s="744" t="s">
        <v>400</v>
      </c>
      <c r="D13" s="745" t="s">
        <v>401</v>
      </c>
      <c r="E13" s="746">
        <v>5</v>
      </c>
      <c r="F13" s="747" t="s">
        <v>402</v>
      </c>
      <c r="G13" s="747"/>
      <c r="H13" s="748">
        <f t="shared" ref="H13:H16" si="2">E13-G13</f>
      </c>
      <c r="I13" s="706"/>
    </row>
    <row customHeight="true" ht="20" r="14">
      <c r="A14" s="715"/>
      <c r="B14" s="716"/>
      <c r="C14" s="749" t="s">
        <v>403</v>
      </c>
      <c r="D14" s="750" t="s">
        <v>404</v>
      </c>
      <c r="E14" s="751">
        <v>5</v>
      </c>
      <c r="F14" s="752" t="s">
        <v>380</v>
      </c>
      <c r="G14" s="752"/>
      <c r="H14" s="753">
        <f t="shared" si="2"/>
      </c>
      <c r="I14" s="713"/>
    </row>
    <row customHeight="true" ht="24" r="15">
      <c r="A15" s="715"/>
      <c r="B15" s="716"/>
      <c r="C15" s="754" t="s">
        <v>405</v>
      </c>
      <c r="D15" s="755" t="s">
        <v>404</v>
      </c>
      <c r="E15" s="756">
        <v>3</v>
      </c>
      <c r="F15" s="757" t="s">
        <v>380</v>
      </c>
      <c r="G15" s="757"/>
      <c r="H15" s="758">
        <f t="shared" si="2"/>
      </c>
      <c r="I15" s="706"/>
    </row>
    <row customHeight="true" ht="24" r="16">
      <c r="A16" s="715"/>
      <c r="B16" s="716"/>
      <c r="C16" s="759" t="s">
        <v>406</v>
      </c>
      <c r="D16" s="717" t="s">
        <v>407</v>
      </c>
      <c r="E16" s="718">
        <v>3</v>
      </c>
      <c r="F16" s="719" t="s">
        <v>377</v>
      </c>
      <c r="G16" s="719">
        <v>3</v>
      </c>
      <c r="H16" s="720">
        <f t="shared" si="2"/>
      </c>
      <c r="I16" s="706"/>
    </row>
    <row customHeight="true" ht="16" r="17">
      <c r="A17" s="715"/>
      <c r="B17" s="716"/>
      <c r="C17" s="740" t="s">
        <v>398</v>
      </c>
      <c r="D17" s="740"/>
      <c r="E17" s="741">
        <f>SUM(E13:E16)</f>
      </c>
      <c r="F17" s="742"/>
      <c r="G17" s="743"/>
      <c r="H17" s="741">
        <f>SUM(H13:H16)</f>
      </c>
      <c r="I17" s="706"/>
    </row>
    <row customHeight="true" ht="26" r="18">
      <c r="A18" s="715"/>
      <c r="B18" s="760" t="s">
        <v>408</v>
      </c>
      <c r="C18" s="754" t="s">
        <v>409</v>
      </c>
      <c r="D18" s="755" t="s">
        <v>397</v>
      </c>
      <c r="E18" s="756">
        <v>3</v>
      </c>
      <c r="F18" s="757" t="s">
        <v>395</v>
      </c>
      <c r="G18" s="757">
        <v>3</v>
      </c>
      <c r="H18" s="758">
        <f t="shared" ref="H18:H25" si="3">E18-G18</f>
      </c>
      <c r="I18" s="713" t="s">
        <v>410</v>
      </c>
    </row>
    <row customHeight="true" ht="26" r="19">
      <c r="A19" s="715"/>
      <c r="B19" s="760"/>
      <c r="C19" s="715" t="s">
        <v>411</v>
      </c>
      <c r="D19" s="761" t="s">
        <v>397</v>
      </c>
      <c r="E19" s="718">
        <v>3</v>
      </c>
      <c r="F19" s="719" t="s">
        <v>395</v>
      </c>
      <c r="G19" s="719">
        <v>3</v>
      </c>
      <c r="H19" s="720">
        <f t="shared" si="3"/>
      </c>
      <c r="I19" s="706"/>
    </row>
    <row customHeight="true" ht="26" r="20">
      <c r="A20" s="715"/>
      <c r="B20" s="760"/>
      <c r="C20" s="721" t="s">
        <v>412</v>
      </c>
      <c r="D20" s="722" t="s">
        <v>389</v>
      </c>
      <c r="E20" s="723">
        <v>5</v>
      </c>
      <c r="F20" s="724" t="s">
        <v>392</v>
      </c>
      <c r="G20" s="724">
        <v>5</v>
      </c>
      <c r="H20" s="725">
        <f t="shared" si="3"/>
      </c>
      <c r="I20" s="706"/>
      <c r="J20" s="706"/>
    </row>
    <row customHeight="true" ht="26" r="21">
      <c r="A21" s="715"/>
      <c r="B21" s="760"/>
      <c r="C21" s="721" t="s">
        <v>413</v>
      </c>
      <c r="D21" s="722" t="s">
        <v>414</v>
      </c>
      <c r="E21" s="723">
        <v>3</v>
      </c>
      <c r="F21" s="724" t="s">
        <v>380</v>
      </c>
      <c r="G21" s="724"/>
      <c r="H21" s="725">
        <f t="shared" si="3"/>
      </c>
      <c r="I21" s="706"/>
      <c r="J21" s="706"/>
    </row>
    <row customHeight="true" ht="26" r="22">
      <c r="A22" s="715"/>
      <c r="B22" s="760"/>
      <c r="C22" s="721" t="s">
        <v>415</v>
      </c>
      <c r="D22" s="722" t="s">
        <v>416</v>
      </c>
      <c r="E22" s="723">
        <v>3</v>
      </c>
      <c r="F22" s="724" t="s">
        <v>377</v>
      </c>
      <c r="G22" s="724">
        <v>2</v>
      </c>
      <c r="H22" s="725">
        <f t="shared" si="3"/>
      </c>
      <c r="I22" s="706"/>
      <c r="J22" s="706"/>
    </row>
    <row customHeight="true" ht="26" r="23">
      <c r="A23" s="715"/>
      <c r="B23" s="760"/>
      <c r="C23" s="721" t="s">
        <v>417</v>
      </c>
      <c r="D23" s="762" t="s">
        <v>418</v>
      </c>
      <c r="E23" s="723">
        <v>3</v>
      </c>
      <c r="F23" s="724" t="s">
        <v>395</v>
      </c>
      <c r="G23" s="724">
        <v>3</v>
      </c>
      <c r="H23" s="725">
        <f t="shared" si="3"/>
      </c>
      <c r="I23" s="706"/>
      <c r="J23" s="706"/>
    </row>
    <row customHeight="true" ht="26" r="24">
      <c r="A24" s="715"/>
      <c r="B24" s="760"/>
      <c r="C24" s="721" t="s">
        <v>419</v>
      </c>
      <c r="D24" s="722" t="s">
        <v>416</v>
      </c>
      <c r="E24" s="723">
        <v>3</v>
      </c>
      <c r="F24" s="724" t="s">
        <v>382</v>
      </c>
      <c r="G24" s="724">
        <v>3</v>
      </c>
      <c r="H24" s="725">
        <f t="shared" si="3"/>
      </c>
      <c r="I24" s="706"/>
      <c r="J24" s="706"/>
    </row>
    <row customHeight="true" ht="26" r="25">
      <c r="A25" s="715"/>
      <c r="B25" s="760"/>
      <c r="C25" s="721" t="s">
        <v>420</v>
      </c>
      <c r="D25" s="762" t="s">
        <v>418</v>
      </c>
      <c r="E25" s="723">
        <v>5</v>
      </c>
      <c r="F25" s="724" t="s">
        <v>395</v>
      </c>
      <c r="G25" s="724">
        <v>5</v>
      </c>
      <c r="H25" s="725">
        <f t="shared" si="3"/>
      </c>
      <c r="I25" s="706"/>
      <c r="J25" s="706"/>
    </row>
    <row customHeight="true" ht="15" r="26">
      <c r="A26" s="715"/>
      <c r="B26" s="760"/>
      <c r="C26" s="763" t="s">
        <v>398</v>
      </c>
      <c r="D26" s="763"/>
      <c r="E26" s="764">
        <f>SUM(E18:E25)</f>
      </c>
      <c r="F26" s="765"/>
      <c r="G26" s="766"/>
      <c r="H26" s="764">
        <f>SUM(H18:H25)</f>
      </c>
      <c r="I26" s="706"/>
      <c r="J26" s="706"/>
    </row>
    <row customHeight="true" ht="26" r="27">
      <c r="A27" s="715"/>
      <c r="B27" s="716" t="s">
        <v>421</v>
      </c>
      <c r="C27" s="744" t="s">
        <v>422</v>
      </c>
      <c r="D27" s="767" t="s">
        <v>418</v>
      </c>
      <c r="E27" s="746">
        <v>3</v>
      </c>
      <c r="F27" s="747" t="s">
        <v>380</v>
      </c>
      <c r="G27" s="768"/>
      <c r="H27" s="769">
        <f t="shared" ref="H27:H29" si="4">E27-G27</f>
      </c>
      <c r="I27" s="706"/>
      <c r="J27" s="706"/>
    </row>
    <row customHeight="true" ht="26" r="28">
      <c r="A28" s="715"/>
      <c r="B28" s="716"/>
      <c r="C28" s="754" t="s">
        <v>423</v>
      </c>
      <c r="D28" s="755" t="s">
        <v>418</v>
      </c>
      <c r="E28" s="756">
        <v>3</v>
      </c>
      <c r="F28" s="757" t="s">
        <v>395</v>
      </c>
      <c r="G28" s="757">
        <v>1</v>
      </c>
      <c r="H28" s="758">
        <f t="shared" si="4"/>
      </c>
      <c r="I28" s="706"/>
    </row>
    <row customHeight="true" ht="26" r="29">
      <c r="A29" s="715"/>
      <c r="B29" s="716"/>
      <c r="C29" s="754" t="s">
        <v>424</v>
      </c>
      <c r="D29" s="755" t="s">
        <v>418</v>
      </c>
      <c r="E29" s="756">
        <v>5</v>
      </c>
      <c r="F29" s="757" t="s">
        <v>395</v>
      </c>
      <c r="G29" s="757"/>
      <c r="H29" s="758">
        <f t="shared" si="4"/>
      </c>
      <c r="I29" s="706"/>
    </row>
    <row customHeight="true" ht="13" r="30">
      <c r="A30" s="715"/>
      <c r="B30" s="716"/>
      <c r="C30" s="763" t="s">
        <v>398</v>
      </c>
      <c r="D30" s="763"/>
      <c r="E30" s="764">
        <f>SUM(E27:E29)</f>
      </c>
      <c r="F30" s="765"/>
      <c r="G30" s="766"/>
      <c r="H30" s="764">
        <f>SUM(H27:H29)</f>
      </c>
      <c r="I30" s="706"/>
    </row>
    <row customHeight="true" ht="16" r="31">
      <c r="A31" s="710" t="s">
        <v>383</v>
      </c>
      <c r="B31" s="710"/>
      <c r="C31" s="710"/>
      <c r="D31" s="710"/>
      <c r="E31" s="711">
        <f>SUM(E12,E17,E26,E30)</f>
      </c>
      <c r="F31" s="712"/>
      <c r="G31" s="770"/>
      <c r="H31" s="711">
        <f>SUM(H12,H17,H26,H30)</f>
      </c>
      <c r="I31" s="706"/>
    </row>
    <row customHeight="true" ht="26" r="32">
      <c r="A32" s="744" t="s">
        <v>425</v>
      </c>
      <c r="B32" s="716" t="s">
        <v>408</v>
      </c>
      <c r="C32" s="715" t="s">
        <v>426</v>
      </c>
      <c r="D32" s="761" t="s">
        <v>427</v>
      </c>
      <c r="E32" s="718">
        <v>5</v>
      </c>
      <c r="F32" s="719" t="s">
        <v>377</v>
      </c>
      <c r="G32" s="771"/>
      <c r="H32" s="720">
        <f t="shared" ref="H32:H37" si="5">E32-G32</f>
      </c>
      <c r="I32" s="772" t="s">
        <v>428</v>
      </c>
    </row>
    <row customHeight="true" ht="23" r="33">
      <c r="A33" s="744"/>
      <c r="B33" s="716"/>
      <c r="C33" s="726" t="s">
        <v>429</v>
      </c>
      <c r="D33" s="773" t="s">
        <v>430</v>
      </c>
      <c r="E33" s="699">
        <v>5</v>
      </c>
      <c r="F33" s="728" t="s">
        <v>392</v>
      </c>
      <c r="G33" s="774"/>
      <c r="H33" s="729">
        <f t="shared" si="5"/>
      </c>
      <c r="I33" s="706"/>
      <c r="J33" s="706"/>
    </row>
    <row customHeight="true" ht="16" r="34">
      <c r="A34" s="744"/>
      <c r="B34" s="716"/>
      <c r="C34" s="730" t="s">
        <v>431</v>
      </c>
      <c r="D34" s="775" t="s">
        <v>432</v>
      </c>
      <c r="E34" s="732">
        <v>5</v>
      </c>
      <c r="F34" s="733" t="s">
        <v>402</v>
      </c>
      <c r="G34" s="733">
        <v>2</v>
      </c>
      <c r="H34" s="776">
        <f t="shared" si="5"/>
      </c>
    </row>
    <row customHeight="true" ht="16" r="35">
      <c r="A35" s="744"/>
      <c r="B35" s="716"/>
      <c r="C35" s="735" t="s">
        <v>433</v>
      </c>
      <c r="D35" s="777" t="s">
        <v>434</v>
      </c>
      <c r="E35" s="737">
        <v>3</v>
      </c>
      <c r="F35" s="738" t="s">
        <v>392</v>
      </c>
      <c r="G35" s="778"/>
      <c r="H35" s="779">
        <f t="shared" si="5"/>
      </c>
    </row>
    <row customHeight="true" ht="16" r="36">
      <c r="A36" s="744"/>
      <c r="B36" s="716"/>
      <c r="C36" s="780" t="s">
        <v>435</v>
      </c>
      <c r="D36" s="781" t="s">
        <v>436</v>
      </c>
      <c r="E36" s="751">
        <v>5</v>
      </c>
      <c r="F36" s="752" t="s">
        <v>392</v>
      </c>
      <c r="G36" s="782"/>
      <c r="H36" s="783">
        <f t="shared" si="5"/>
      </c>
    </row>
    <row customHeight="true" ht="16" r="37">
      <c r="A37" s="744"/>
      <c r="B37" s="716"/>
      <c r="C37" s="780" t="s">
        <v>437</v>
      </c>
      <c r="D37" s="781" t="s">
        <v>438</v>
      </c>
      <c r="E37" s="751">
        <v>7</v>
      </c>
      <c r="F37" s="752" t="s">
        <v>392</v>
      </c>
      <c r="G37" s="752">
        <v>7</v>
      </c>
      <c r="H37" s="783">
        <f t="shared" si="5"/>
      </c>
    </row>
    <row customHeight="true" ht="16" r="38">
      <c r="A38" s="744"/>
      <c r="B38" s="716"/>
      <c r="C38" s="763" t="s">
        <v>398</v>
      </c>
      <c r="D38" s="763"/>
      <c r="E38" s="764">
        <f>SUM(E32:E37)</f>
      </c>
      <c r="F38" s="765"/>
      <c r="G38" s="766"/>
      <c r="H38" s="764">
        <f>SUM(H32:H36)</f>
      </c>
    </row>
    <row customHeight="true" ht="16" r="39">
      <c r="A39" s="744"/>
      <c r="B39" s="716" t="s">
        <v>385</v>
      </c>
      <c r="C39" s="780" t="s">
        <v>439</v>
      </c>
      <c r="D39" s="781" t="s">
        <v>440</v>
      </c>
      <c r="E39" s="751">
        <v>3</v>
      </c>
      <c r="F39" s="752" t="s">
        <v>395</v>
      </c>
      <c r="G39" s="782"/>
      <c r="H39" s="783">
        <f t="shared" ref="H39:H41" si="6">E39-G39</f>
      </c>
      <c r="I39" s="706"/>
      <c r="J39" s="706"/>
    </row>
    <row customHeight="true" ht="16" r="40">
      <c r="A40" s="744"/>
      <c r="B40" s="716"/>
      <c r="C40" s="744" t="s">
        <v>441</v>
      </c>
      <c r="D40" s="784" t="s">
        <v>442</v>
      </c>
      <c r="E40" s="746">
        <v>3</v>
      </c>
      <c r="F40" s="747" t="s">
        <v>380</v>
      </c>
      <c r="G40" s="768"/>
      <c r="H40" s="769">
        <f t="shared" si="6"/>
      </c>
      <c r="I40" s="706"/>
      <c r="J40" s="706"/>
    </row>
    <row customHeight="true" ht="16" r="41">
      <c r="A41" s="744"/>
      <c r="B41" s="716"/>
      <c r="C41" s="721" t="s">
        <v>443</v>
      </c>
      <c r="D41" s="722" t="s">
        <v>442</v>
      </c>
      <c r="E41" s="723">
        <v>3</v>
      </c>
      <c r="F41" s="724" t="s">
        <v>395</v>
      </c>
      <c r="G41" s="785"/>
      <c r="H41" s="725">
        <f t="shared" si="6"/>
      </c>
      <c r="I41" s="706"/>
      <c r="J41" s="706"/>
    </row>
    <row customHeight="true" ht="16" r="42">
      <c r="A42" s="744"/>
      <c r="B42" s="716"/>
      <c r="C42" s="763" t="s">
        <v>398</v>
      </c>
      <c r="D42" s="763"/>
      <c r="E42" s="764">
        <f>SUM(E39:E41)</f>
      </c>
      <c r="F42" s="765"/>
      <c r="G42" s="766"/>
      <c r="H42" s="764">
        <f>SUM(H39:H41)</f>
      </c>
      <c r="I42" s="706"/>
      <c r="J42" s="706"/>
    </row>
    <row customHeight="true" ht="16" r="43">
      <c r="A43" s="744"/>
      <c r="B43" s="716" t="s">
        <v>421</v>
      </c>
      <c r="C43" s="786" t="s">
        <v>422</v>
      </c>
      <c r="D43" s="787" t="s">
        <v>444</v>
      </c>
      <c r="E43" s="788">
        <v>2</v>
      </c>
      <c r="F43" s="789" t="s">
        <v>377</v>
      </c>
      <c r="G43" s="789">
        <v>2</v>
      </c>
      <c r="H43" s="769">
        <f>E43-G43</f>
      </c>
      <c r="I43" s="706"/>
      <c r="J43" s="706"/>
    </row>
    <row customHeight="true" ht="16" r="44">
      <c r="A44" s="744"/>
      <c r="B44" s="716"/>
      <c r="C44" s="763" t="s">
        <v>398</v>
      </c>
      <c r="D44" s="763"/>
      <c r="E44" s="764">
        <f>SUM(E43)</f>
      </c>
      <c r="F44" s="765"/>
      <c r="G44" s="766"/>
      <c r="H44" s="764">
        <f>SUM(H43)</f>
      </c>
      <c r="I44" s="706"/>
      <c r="J44" s="706"/>
    </row>
    <row customHeight="true" ht="16" r="45">
      <c r="A45" s="744"/>
      <c r="B45" s="716" t="s">
        <v>399</v>
      </c>
      <c r="C45" s="790" t="s">
        <v>445</v>
      </c>
      <c r="D45" s="791" t="s">
        <v>446</v>
      </c>
      <c r="E45" s="792">
        <v>2</v>
      </c>
      <c r="F45" s="793" t="s">
        <v>377</v>
      </c>
      <c r="G45" s="793">
        <v>2</v>
      </c>
      <c r="H45" s="794">
        <f t="shared" ref="H45:H46" si="7">E45-G45</f>
      </c>
      <c r="I45" s="706"/>
      <c r="J45" s="706"/>
    </row>
    <row customHeight="true" ht="16" r="46">
      <c r="A46" s="744"/>
      <c r="B46" s="716"/>
      <c r="C46" s="795" t="s">
        <v>447</v>
      </c>
      <c r="D46" s="796" t="s">
        <v>448</v>
      </c>
      <c r="E46" s="797">
        <v>2</v>
      </c>
      <c r="F46" s="798" t="s">
        <v>402</v>
      </c>
      <c r="G46" s="799"/>
      <c r="H46" s="800">
        <f t="shared" si="7"/>
      </c>
      <c r="I46" s="706"/>
      <c r="J46" s="706"/>
    </row>
    <row customHeight="true" ht="16" r="47">
      <c r="A47" s="744"/>
      <c r="B47" s="716"/>
      <c r="C47" s="763" t="s">
        <v>398</v>
      </c>
      <c r="D47" s="763"/>
      <c r="E47" s="764">
        <f>SUM(E45:E46)</f>
      </c>
      <c r="F47" s="765"/>
      <c r="G47" s="766"/>
      <c r="H47" s="764">
        <f>SUM(H45:H46)</f>
      </c>
      <c r="I47" s="706"/>
    </row>
    <row customHeight="true" ht="16" r="48">
      <c r="A48" s="710" t="s">
        <v>383</v>
      </c>
      <c r="B48" s="710"/>
      <c r="C48" s="710"/>
      <c r="D48" s="710"/>
      <c r="E48" s="711">
        <f>SUM(E38,E42,E44,E47)</f>
      </c>
      <c r="F48" s="712"/>
      <c r="G48" s="770"/>
      <c r="H48" s="711">
        <f>SUM(H24,H28)</f>
      </c>
      <c r="I48" s="706"/>
    </row>
    <row customHeight="true" ht="16" r="49">
      <c r="A49" s="744" t="s">
        <v>449</v>
      </c>
      <c r="B49" s="716" t="s">
        <v>385</v>
      </c>
      <c r="C49" s="795" t="s">
        <v>388</v>
      </c>
      <c r="D49" s="795" t="s">
        <v>450</v>
      </c>
      <c r="E49" s="797">
        <v>1</v>
      </c>
      <c r="F49" s="798" t="s">
        <v>392</v>
      </c>
      <c r="G49" s="799"/>
      <c r="H49" s="800">
        <f>E49-G49</f>
      </c>
      <c r="I49" s="706"/>
    </row>
    <row customHeight="true" ht="16" r="50">
      <c r="A50" s="744"/>
      <c r="B50" s="716"/>
      <c r="C50" s="763" t="s">
        <v>398</v>
      </c>
      <c r="D50" s="763"/>
      <c r="E50" s="801">
        <f>SUM(E49)</f>
      </c>
      <c r="F50" s="765"/>
      <c r="G50" s="766"/>
      <c r="H50" s="801">
        <f>SUM(H49)</f>
      </c>
      <c r="I50" s="706"/>
    </row>
    <row customHeight="true" ht="16" r="51">
      <c r="A51" s="744"/>
      <c r="B51" s="716" t="s">
        <v>399</v>
      </c>
      <c r="C51" s="802" t="s">
        <v>445</v>
      </c>
      <c r="D51" s="802" t="s">
        <v>450</v>
      </c>
      <c r="E51" s="803">
        <v>1</v>
      </c>
      <c r="F51" s="804" t="s">
        <v>392</v>
      </c>
      <c r="G51" s="804">
        <v>1</v>
      </c>
      <c r="H51" s="729">
        <f>E51-G51</f>
      </c>
      <c r="I51" s="706"/>
    </row>
    <row customHeight="true" ht="16" r="52">
      <c r="A52" s="744"/>
      <c r="B52" s="716"/>
      <c r="C52" s="763" t="s">
        <v>398</v>
      </c>
      <c r="D52" s="763"/>
      <c r="E52" s="801">
        <f>SUM(E51)</f>
      </c>
      <c r="F52" s="765"/>
      <c r="G52" s="765"/>
      <c r="H52" s="801">
        <f>SUM(H51)</f>
      </c>
      <c r="I52" s="706"/>
    </row>
    <row customHeight="true" ht="16" r="53">
      <c r="A53" s="744"/>
      <c r="B53" s="716" t="s">
        <v>421</v>
      </c>
      <c r="C53" s="805" t="s">
        <v>451</v>
      </c>
      <c r="D53" s="805" t="s">
        <v>450</v>
      </c>
      <c r="E53" s="806">
        <v>1</v>
      </c>
      <c r="F53" s="807" t="s">
        <v>392</v>
      </c>
      <c r="G53" s="807">
        <v>1</v>
      </c>
      <c r="H53" s="776">
        <f t="shared" ref="H53:H55" si="8">E53-G53</f>
      </c>
      <c r="I53" s="706"/>
    </row>
    <row customHeight="true" ht="16" r="54">
      <c r="A54" s="744"/>
      <c r="B54" s="716"/>
      <c r="C54" s="808" t="s">
        <v>452</v>
      </c>
      <c r="D54" s="808" t="s">
        <v>450</v>
      </c>
      <c r="E54" s="809">
        <v>1</v>
      </c>
      <c r="F54" s="810" t="s">
        <v>392</v>
      </c>
      <c r="G54" s="810">
        <v>1</v>
      </c>
      <c r="H54" s="779">
        <f t="shared" si="8"/>
      </c>
      <c r="I54" s="706"/>
    </row>
    <row customHeight="true" ht="16" r="55">
      <c r="A55" s="744"/>
      <c r="B55" s="716"/>
      <c r="C55" s="811" t="s">
        <v>453</v>
      </c>
      <c r="D55" s="811" t="s">
        <v>450</v>
      </c>
      <c r="E55" s="812">
        <v>1</v>
      </c>
      <c r="F55" s="813" t="s">
        <v>392</v>
      </c>
      <c r="G55" s="813">
        <v>1</v>
      </c>
      <c r="H55" s="783">
        <f t="shared" si="8"/>
      </c>
      <c r="I55" s="706"/>
    </row>
    <row customHeight="true" ht="16" r="56">
      <c r="A56" s="744"/>
      <c r="B56" s="716"/>
      <c r="C56" s="763" t="s">
        <v>398</v>
      </c>
      <c r="D56" s="763"/>
      <c r="E56" s="764">
        <f>SUM(E53:E55)</f>
      </c>
      <c r="F56" s="765"/>
      <c r="G56" s="766"/>
      <c r="H56" s="764">
        <f>SUM(H53:H55)</f>
      </c>
      <c r="I56" s="706"/>
    </row>
    <row customHeight="true" ht="16" r="57">
      <c r="A57" s="744"/>
      <c r="B57" s="716" t="s">
        <v>408</v>
      </c>
      <c r="C57" s="786" t="s">
        <v>454</v>
      </c>
      <c r="D57" s="786" t="s">
        <v>450</v>
      </c>
      <c r="E57" s="788">
        <v>1</v>
      </c>
      <c r="F57" s="789" t="s">
        <v>402</v>
      </c>
      <c r="G57" s="814"/>
      <c r="H57" s="769">
        <f t="shared" ref="H57:H59" si="9">E57-G57</f>
      </c>
      <c r="I57" s="706"/>
    </row>
    <row customHeight="true" ht="16" r="58">
      <c r="A58" s="744"/>
      <c r="B58" s="716"/>
      <c r="C58" s="815" t="s">
        <v>455</v>
      </c>
      <c r="D58" s="815" t="s">
        <v>450</v>
      </c>
      <c r="E58" s="816">
        <v>1</v>
      </c>
      <c r="F58" s="817" t="s">
        <v>402</v>
      </c>
      <c r="G58" s="818"/>
      <c r="H58" s="819">
        <f t="shared" si="9"/>
      </c>
      <c r="I58" s="706"/>
    </row>
    <row customHeight="true" ht="16" r="59">
      <c r="A59" s="744"/>
      <c r="B59" s="716"/>
      <c r="C59" s="820" t="s">
        <v>420</v>
      </c>
      <c r="D59" s="820" t="s">
        <v>456</v>
      </c>
      <c r="E59" s="821">
        <v>1</v>
      </c>
      <c r="F59" s="822" t="s">
        <v>402</v>
      </c>
      <c r="G59" s="823"/>
      <c r="H59" s="824">
        <f t="shared" si="9"/>
      </c>
      <c r="I59" s="706"/>
    </row>
    <row customHeight="true" ht="16" r="60">
      <c r="A60" s="744"/>
      <c r="B60" s="716"/>
      <c r="C60" s="763" t="s">
        <v>398</v>
      </c>
      <c r="D60" s="763"/>
      <c r="E60" s="764">
        <f>SUM(E57:E59)</f>
      </c>
      <c r="F60" s="765"/>
      <c r="G60" s="766"/>
      <c r="H60" s="764">
        <f>SUM(H57:H59)</f>
      </c>
      <c r="I60" s="706"/>
    </row>
    <row customHeight="true" ht="16" r="61">
      <c r="A61" s="710" t="s">
        <v>383</v>
      </c>
      <c r="B61" s="710"/>
      <c r="C61" s="710"/>
      <c r="D61" s="710"/>
      <c r="E61" s="711">
        <f>SUM(E50,E52,E56,E60)</f>
      </c>
      <c r="F61" s="712"/>
      <c r="G61" s="770"/>
      <c r="H61" s="711">
        <f>SUM(H38,H42)</f>
      </c>
      <c r="I61" s="706"/>
    </row>
    <row customHeight="true" ht="32" r="62">
      <c r="A62" s="780" t="s">
        <v>457</v>
      </c>
      <c r="B62" s="716" t="s">
        <v>458</v>
      </c>
      <c r="C62" s="780" t="s">
        <v>459</v>
      </c>
      <c r="D62" s="781" t="s">
        <v>460</v>
      </c>
      <c r="E62" s="751">
        <v>15</v>
      </c>
      <c r="F62" s="752"/>
      <c r="G62" s="782"/>
      <c r="H62" s="783">
        <f>E62-G62</f>
      </c>
      <c r="I62" s="706"/>
      <c r="J62" s="706"/>
    </row>
    <row customHeight="true" ht="16" r="63">
      <c r="A63" s="711"/>
      <c r="B63" s="711"/>
      <c r="C63" s="711" t="s">
        <v>398</v>
      </c>
      <c r="D63" s="825"/>
      <c r="E63" s="711">
        <f>SUM(E6,E31,E48,E61,E62)</f>
      </c>
      <c r="F63" s="712"/>
      <c r="G63" s="826"/>
      <c r="H63" s="711">
        <f>SUM(H6,H31,H61,H62)</f>
      </c>
      <c r="I63" s="706"/>
      <c r="J63" s="706"/>
    </row>
    <row customHeight="true" ht="16" r="64">
      <c r="B64" s="706"/>
      <c r="C64" s="706"/>
      <c r="D64" s="706"/>
      <c r="E64" s="706"/>
      <c r="F64" s="713"/>
      <c r="G64" s="713"/>
      <c r="H64" s="713"/>
      <c r="I64" s="706"/>
      <c r="J64" s="706"/>
    </row>
    <row customHeight="true" ht="16" r="65">
      <c r="B65" s="706"/>
      <c r="C65" s="706"/>
      <c r="D65" s="706"/>
      <c r="E65" s="706"/>
      <c r="F65" s="713"/>
      <c r="G65" s="713"/>
      <c r="H65" s="713"/>
      <c r="I65" s="706"/>
      <c r="J65" s="706"/>
    </row>
    <row r="66">
      <c r="D66" s="706"/>
      <c r="E66" s="743" t="s">
        <v>461</v>
      </c>
      <c r="F66" s="827" t="s">
        <v>367</v>
      </c>
      <c r="G66" s="827" t="s">
        <v>462</v>
      </c>
      <c r="H66" s="827" t="s">
        <v>370</v>
      </c>
      <c r="I66" s="706"/>
    </row>
    <row r="67">
      <c r="D67" s="706"/>
      <c r="E67" s="828" t="s">
        <v>377</v>
      </c>
      <c r="F67" s="829">
        <f>SUMIF(F2:F63,"Huyền",E2:E63)</f>
      </c>
      <c r="G67" s="829">
        <f>SUMIF(F2:F63,"Huyền",G2:G63)</f>
      </c>
      <c r="H67" s="829">
        <f t="shared" ref="H67:H73" si="10">F67-G67</f>
      </c>
      <c r="I67" s="706"/>
    </row>
    <row r="68">
      <c r="D68" s="706"/>
      <c r="E68" s="827" t="s">
        <v>392</v>
      </c>
      <c r="F68" s="743">
        <f>SUMIF(F2:F63,"Hoa",E2:E63)</f>
      </c>
      <c r="G68" s="829">
        <f>SUMIF(F2:F63,"Hoa",G2:G63)</f>
      </c>
      <c r="H68" s="743">
        <f t="shared" si="10"/>
      </c>
      <c r="I68" s="706"/>
    </row>
    <row r="69">
      <c r="D69" s="706"/>
      <c r="E69" s="743" t="s">
        <v>380</v>
      </c>
      <c r="F69" s="766">
        <f>SUMIF(F2:F63,"Thúy",E2:E63)</f>
      </c>
      <c r="G69" s="829">
        <f>SUMIF(F2:F63,"Thúy",G2:G63)</f>
      </c>
      <c r="H69" s="743">
        <f t="shared" si="10"/>
      </c>
      <c r="I69" s="706"/>
    </row>
    <row r="70">
      <c r="D70" s="706"/>
      <c r="E70" s="830" t="s">
        <v>402</v>
      </c>
      <c r="F70" s="831">
        <f>SUMIF(F2:F63,"Linh",E2:E63)</f>
      </c>
      <c r="G70" s="832">
        <f>SUMIF(F2:F63,"Mai",G2:G63)</f>
      </c>
      <c r="H70" s="743">
        <f t="shared" si="10"/>
      </c>
      <c r="I70" s="706"/>
    </row>
    <row r="71">
      <c r="D71" s="706"/>
      <c r="E71" s="827" t="s">
        <v>395</v>
      </c>
      <c r="F71" s="833">
        <f>SUMIF(F2:F63,"Ngân",E2:E63)</f>
      </c>
      <c r="G71" s="832">
        <f>SUMIF(F2:F63,"Ngân",G2:G63)</f>
      </c>
      <c r="H71" s="834">
        <f t="shared" si="10"/>
      </c>
      <c r="I71" s="706"/>
    </row>
    <row customHeight="true" ht="16" r="72">
      <c r="D72" s="706"/>
      <c r="E72" s="827" t="s">
        <v>382</v>
      </c>
      <c r="F72" s="833">
        <f>SUMIF(F2:F63,"Mai",E2:E63)</f>
      </c>
      <c r="G72" s="832">
        <f>SUMIF(F3:F64,"Mai",G3:G64)</f>
      </c>
      <c r="H72" s="834">
        <f t="shared" si="10"/>
      </c>
      <c r="I72" s="706"/>
    </row>
    <row r="73">
      <c r="D73" s="706"/>
      <c r="E73" s="827" t="s">
        <v>398</v>
      </c>
      <c r="F73" s="743">
        <f>SUM(F67:F72)</f>
      </c>
      <c r="G73" s="743">
        <f>SUM(G67:G72)</f>
      </c>
      <c r="H73" s="834">
        <f t="shared" si="10"/>
      </c>
    </row>
    <row r="74">
      <c r="D74" s="713"/>
      <c r="E74" s="706"/>
      <c r="F74" s="706"/>
      <c r="G74" s="706"/>
    </row>
  </sheetData>
  <mergeCells>
    <mergeCell ref="A48:D48"/>
    <mergeCell ref="B49:B50"/>
    <mergeCell ref="B51:B52"/>
    <mergeCell ref="B53:B56"/>
    <mergeCell ref="C63:D63"/>
    <mergeCell ref="A61:D61"/>
    <mergeCell ref="B57:B60"/>
    <mergeCell ref="C50:D50"/>
    <mergeCell ref="C52:D52"/>
    <mergeCell ref="C56:D56"/>
    <mergeCell ref="C60:D60"/>
    <mergeCell ref="B39:B42"/>
    <mergeCell ref="C42:D42"/>
    <mergeCell ref="C38:D38"/>
    <mergeCell ref="B32:B38"/>
    <mergeCell ref="B43:B44"/>
    <mergeCell ref="B45:B47"/>
    <mergeCell ref="A32:A47"/>
    <mergeCell ref="C44:D44"/>
    <mergeCell ref="C47:D47"/>
    <mergeCell ref="B18:B26"/>
    <mergeCell ref="C26:D26"/>
    <mergeCell ref="I18:I26"/>
    <mergeCell ref="A31:D31"/>
    <mergeCell ref="A7:A30"/>
    <mergeCell ref="C30:D30"/>
    <mergeCell ref="B27:B30"/>
    <mergeCell ref="C17:D17"/>
    <mergeCell ref="B13:B17"/>
    <mergeCell ref="B7:B12"/>
    <mergeCell ref="C12:D12"/>
    <mergeCell ref="A6:D6"/>
    <mergeCell ref="A49:A60"/>
    <mergeCell ref="A2:A5"/>
    <mergeCell ref="B2:B5"/>
    <mergeCell ref="C2:C5"/>
  </mergeCells>
  <picture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2" min="2" style="0" width="22"/>
    <col collapsed="false" customWidth="true" hidden="false" max="4" min="4" style="0" width="29"/>
    <col collapsed="false" customWidth="true" hidden="false" max="10" min="10" style="0" width="55"/>
    <col collapsed="false" customWidth="true" hidden="false" max="7" min="7" style="0" width="11"/>
    <col collapsed="false" customWidth="true" hidden="false" max="9" min="9" style="0" width="18"/>
    <col collapsed="false" customWidth="true" hidden="false" max="1" min="1" style="0" width="22"/>
    <col collapsed="false" customWidth="true" hidden="false" max="3" min="3" style="0" width="22"/>
    <col collapsed="false" customWidth="true" hidden="false" max="5" min="5" style="0" width="11"/>
  </cols>
  <sheetData>
    <row r="1">
      <c r="A1" s="835" t="s">
        <v>463</v>
      </c>
      <c r="B1" s="835" t="s">
        <v>464</v>
      </c>
      <c r="C1" s="836" t="s">
        <v>465</v>
      </c>
      <c r="D1" s="835" t="s">
        <v>466</v>
      </c>
      <c r="E1" s="837" t="s">
        <v>467</v>
      </c>
      <c r="F1" s="838" t="s">
        <v>468</v>
      </c>
      <c r="G1" s="835" t="s">
        <v>469</v>
      </c>
      <c r="H1" s="835" t="s">
        <v>470</v>
      </c>
      <c r="I1" s="839" t="s">
        <v>471</v>
      </c>
      <c r="J1" s="840" t="s">
        <v>472</v>
      </c>
    </row>
    <row customHeight="true" ht="26" r="2">
      <c r="A2" s="841" t="s">
        <v>473</v>
      </c>
      <c r="B2" s="842" t="s">
        <v>474</v>
      </c>
      <c r="C2" s="843" t="s">
        <v>475</v>
      </c>
      <c r="D2" s="844" t="s">
        <v>476</v>
      </c>
      <c r="E2" s="845">
        <v>10</v>
      </c>
      <c r="F2" s="846" t="s">
        <v>477</v>
      </c>
      <c r="G2" s="846">
        <v>10</v>
      </c>
      <c r="H2" s="847">
        <f t="shared" ref="H2:H4" si="0">E2-G2</f>
      </c>
      <c r="I2" s="848" t="s">
        <v>478</v>
      </c>
    </row>
    <row customHeight="true" ht="20" r="3">
      <c r="A3" s="841"/>
      <c r="B3" s="842"/>
      <c r="C3" s="843" t="s">
        <v>479</v>
      </c>
      <c r="D3" s="844" t="s">
        <v>480</v>
      </c>
      <c r="E3" s="845">
        <v>10</v>
      </c>
      <c r="F3" s="846" t="s">
        <v>481</v>
      </c>
      <c r="G3" s="846">
        <v>10</v>
      </c>
      <c r="H3" s="847">
        <f t="shared" si="0"/>
      </c>
      <c r="I3" s="849"/>
    </row>
    <row customHeight="true" ht="19" r="4">
      <c r="A4" s="841"/>
      <c r="B4" s="842"/>
      <c r="C4" s="843" t="s">
        <v>482</v>
      </c>
      <c r="D4" s="844" t="s">
        <v>480</v>
      </c>
      <c r="E4" s="845">
        <v>10</v>
      </c>
      <c r="F4" s="846" t="s">
        <v>483</v>
      </c>
      <c r="G4" s="846">
        <v>10</v>
      </c>
      <c r="H4" s="847">
        <f t="shared" si="0"/>
      </c>
      <c r="I4" s="849"/>
    </row>
    <row customHeight="true" ht="16" r="5">
      <c r="A5" s="850" t="s">
        <v>484</v>
      </c>
      <c r="B5" s="850"/>
      <c r="C5" s="850"/>
      <c r="D5" s="850"/>
      <c r="E5" s="851">
        <f>SUM(E2:E4)</f>
      </c>
      <c r="F5" s="852"/>
      <c r="G5" s="852"/>
      <c r="H5" s="851">
        <f>SUM(H2:H4)</f>
      </c>
      <c r="I5" s="848"/>
      <c r="K5" s="853"/>
    </row>
    <row r="6">
      <c r="A6" s="854" t="s">
        <v>485</v>
      </c>
      <c r="B6" s="855" t="s">
        <v>486</v>
      </c>
      <c r="C6" s="854" t="s">
        <v>487</v>
      </c>
      <c r="D6" s="856" t="s">
        <v>488</v>
      </c>
      <c r="E6" s="857">
        <v>5</v>
      </c>
      <c r="F6" s="858" t="s">
        <v>489</v>
      </c>
      <c r="G6" s="858">
        <v>4</v>
      </c>
      <c r="H6" s="859">
        <f t="shared" ref="H6:H8" si="1">E6-G6</f>
      </c>
      <c r="I6" s="848" t="s">
        <v>490</v>
      </c>
      <c r="K6" s="853"/>
    </row>
    <row customHeight="true" ht="28" r="7">
      <c r="A7" s="854"/>
      <c r="B7" s="855"/>
      <c r="C7" s="860" t="s">
        <v>491</v>
      </c>
      <c r="D7" s="861" t="s">
        <v>492</v>
      </c>
      <c r="E7" s="862">
        <v>5</v>
      </c>
      <c r="F7" s="863" t="s">
        <v>493</v>
      </c>
      <c r="G7" s="863">
        <v>0</v>
      </c>
      <c r="H7" s="864">
        <f t="shared" si="1"/>
      </c>
      <c r="I7" s="848"/>
      <c r="J7" s="848"/>
    </row>
    <row customHeight="true" ht="34" r="8">
      <c r="A8" s="854"/>
      <c r="B8" s="855"/>
      <c r="C8" s="865" t="s">
        <v>494</v>
      </c>
      <c r="D8" s="865" t="s">
        <v>495</v>
      </c>
      <c r="E8" s="841">
        <v>3</v>
      </c>
      <c r="F8" s="866" t="s">
        <v>493</v>
      </c>
      <c r="G8" s="866">
        <v>3</v>
      </c>
      <c r="H8" s="867">
        <f t="shared" si="1"/>
      </c>
      <c r="I8" s="848"/>
    </row>
    <row customHeight="true" ht="16" r="9">
      <c r="A9" s="854"/>
      <c r="B9" s="855"/>
      <c r="C9" s="868" t="s">
        <v>496</v>
      </c>
      <c r="D9" s="868"/>
      <c r="E9" s="869">
        <f>SUM(E6:E8)</f>
      </c>
      <c r="F9" s="870"/>
      <c r="G9" s="871"/>
      <c r="H9" s="869">
        <f>SUM(H6:H8)</f>
      </c>
      <c r="I9" s="849"/>
    </row>
    <row customHeight="true" ht="42" r="10">
      <c r="A10" s="854"/>
      <c r="B10" s="855" t="s">
        <v>497</v>
      </c>
      <c r="C10" s="872" t="s">
        <v>498</v>
      </c>
      <c r="D10" s="873" t="s">
        <v>499</v>
      </c>
      <c r="E10" s="874">
        <v>5</v>
      </c>
      <c r="F10" s="875" t="s">
        <v>500</v>
      </c>
      <c r="G10" s="875">
        <v>5</v>
      </c>
      <c r="H10" s="876">
        <f t="shared" ref="H10:H12" si="2">E10-G10</f>
      </c>
      <c r="I10" s="848" t="s">
        <v>490</v>
      </c>
    </row>
    <row customHeight="true" ht="20" r="11">
      <c r="A11" s="854"/>
      <c r="B11" s="855"/>
      <c r="C11" s="877" t="s">
        <v>501</v>
      </c>
      <c r="D11" s="878" t="s">
        <v>502</v>
      </c>
      <c r="E11" s="879">
        <v>5</v>
      </c>
      <c r="F11" s="880" t="s">
        <v>483</v>
      </c>
      <c r="G11" s="880">
        <v>5</v>
      </c>
      <c r="H11" s="881">
        <f t="shared" si="2"/>
      </c>
      <c r="I11" s="848"/>
    </row>
    <row customHeight="true" ht="24" r="12">
      <c r="A12" s="854"/>
      <c r="B12" s="855"/>
      <c r="C12" s="882" t="s">
        <v>503</v>
      </c>
      <c r="D12" s="883" t="s">
        <v>502</v>
      </c>
      <c r="E12" s="884">
        <v>5</v>
      </c>
      <c r="F12" s="885" t="s">
        <v>483</v>
      </c>
      <c r="G12" s="885">
        <v>1</v>
      </c>
      <c r="H12" s="886">
        <f t="shared" si="2"/>
      </c>
      <c r="I12" s="848" t="s">
        <v>490</v>
      </c>
      <c r="J12" s="848"/>
    </row>
    <row customHeight="true" ht="16" r="13">
      <c r="A13" s="854"/>
      <c r="B13" s="855"/>
      <c r="C13" s="868" t="s">
        <v>496</v>
      </c>
      <c r="D13" s="868"/>
      <c r="E13" s="869">
        <f>SUM(E10:E12)</f>
      </c>
      <c r="F13" s="870"/>
      <c r="G13" s="871"/>
      <c r="H13" s="869">
        <f>SUM(H10:H12)</f>
      </c>
      <c r="I13" s="849"/>
    </row>
    <row customHeight="true" ht="26" r="14">
      <c r="A14" s="854"/>
      <c r="B14" s="842" t="s">
        <v>504</v>
      </c>
      <c r="C14" s="887" t="s">
        <v>505</v>
      </c>
      <c r="D14" s="888" t="s">
        <v>506</v>
      </c>
      <c r="E14" s="889">
        <v>3</v>
      </c>
      <c r="F14" s="890" t="s">
        <v>489</v>
      </c>
      <c r="G14" s="890">
        <v>3</v>
      </c>
      <c r="H14" s="891">
        <f t="shared" ref="H14:H17" si="3">E14-G14</f>
      </c>
      <c r="I14" s="848" t="s">
        <v>490</v>
      </c>
      <c r="J14" s="849"/>
    </row>
    <row customHeight="true" ht="26" r="15">
      <c r="A15" s="854"/>
      <c r="B15" s="842"/>
      <c r="C15" s="887" t="s">
        <v>507</v>
      </c>
      <c r="D15" s="888" t="s">
        <v>508</v>
      </c>
      <c r="E15" s="889">
        <v>5</v>
      </c>
      <c r="F15" s="890" t="s">
        <v>481</v>
      </c>
      <c r="G15" s="890">
        <v>5</v>
      </c>
      <c r="H15" s="891">
        <f t="shared" si="3"/>
      </c>
      <c r="I15" s="849"/>
      <c r="J15" s="849"/>
    </row>
    <row customHeight="true" ht="26" r="16">
      <c r="A16" s="854"/>
      <c r="B16" s="842"/>
      <c r="C16" s="887" t="s">
        <v>509</v>
      </c>
      <c r="D16" s="892" t="s">
        <v>510</v>
      </c>
      <c r="E16" s="889">
        <v>3</v>
      </c>
      <c r="F16" s="890" t="s">
        <v>477</v>
      </c>
      <c r="G16" s="890">
        <v>0</v>
      </c>
      <c r="H16" s="891">
        <f t="shared" si="3"/>
      </c>
      <c r="I16" s="849"/>
      <c r="J16" s="848"/>
    </row>
    <row customHeight="true" ht="26" r="17">
      <c r="A17" s="854"/>
      <c r="B17" s="842"/>
      <c r="C17" s="887" t="s">
        <v>511</v>
      </c>
      <c r="D17" s="888" t="s">
        <v>512</v>
      </c>
      <c r="E17" s="889">
        <v>5</v>
      </c>
      <c r="F17" s="890" t="s">
        <v>481</v>
      </c>
      <c r="G17" s="890">
        <v>5</v>
      </c>
      <c r="H17" s="891">
        <f t="shared" si="3"/>
      </c>
      <c r="I17" s="849"/>
      <c r="J17" s="849"/>
    </row>
    <row customHeight="true" ht="15" r="18">
      <c r="A18" s="854"/>
      <c r="B18" s="842"/>
      <c r="C18" s="893" t="s">
        <v>496</v>
      </c>
      <c r="D18" s="893"/>
      <c r="E18" s="894">
        <f>SUM(E14:E17)</f>
      </c>
      <c r="F18" s="895"/>
      <c r="G18" s="896"/>
      <c r="H18" s="894">
        <f>SUM(H14:H17)</f>
      </c>
      <c r="I18" s="849"/>
      <c r="J18" s="849"/>
    </row>
    <row customHeight="true" ht="26" r="19">
      <c r="A19" s="854"/>
      <c r="B19" s="855" t="s">
        <v>513</v>
      </c>
      <c r="C19" s="882" t="s">
        <v>514</v>
      </c>
      <c r="D19" s="883" t="s">
        <v>515</v>
      </c>
      <c r="E19" s="884">
        <v>5</v>
      </c>
      <c r="F19" s="885" t="s">
        <v>481</v>
      </c>
      <c r="G19" s="885">
        <v>2</v>
      </c>
      <c r="H19" s="886">
        <f>E19-G19</f>
      </c>
      <c r="I19" s="849"/>
    </row>
    <row customHeight="true" ht="13" r="20">
      <c r="A20" s="854"/>
      <c r="B20" s="855"/>
      <c r="C20" s="893" t="s">
        <v>496</v>
      </c>
      <c r="D20" s="893"/>
      <c r="E20" s="894">
        <f>SUM(E19)</f>
      </c>
      <c r="F20" s="895"/>
      <c r="G20" s="896"/>
      <c r="H20" s="894">
        <f>SUM(H19)</f>
      </c>
      <c r="I20" s="849"/>
    </row>
    <row customHeight="true" ht="16" r="21">
      <c r="A21" s="850" t="s">
        <v>484</v>
      </c>
      <c r="B21" s="850"/>
      <c r="C21" s="850"/>
      <c r="D21" s="850"/>
      <c r="E21" s="851">
        <f>SUM(E9,E13,E18,E20)</f>
      </c>
      <c r="F21" s="852"/>
      <c r="G21" s="897"/>
      <c r="H21" s="851">
        <f>SUM(H9,H13,H18,H20)</f>
      </c>
      <c r="I21" s="849"/>
    </row>
    <row customHeight="true" ht="26" r="22">
      <c r="A22" s="872" t="s">
        <v>516</v>
      </c>
      <c r="B22" s="855" t="s">
        <v>504</v>
      </c>
      <c r="C22" s="854" t="s">
        <v>517</v>
      </c>
      <c r="D22" s="898" t="s">
        <v>518</v>
      </c>
      <c r="E22" s="857">
        <v>7</v>
      </c>
      <c r="F22" s="858" t="s">
        <v>489</v>
      </c>
      <c r="G22" s="858">
        <v>7</v>
      </c>
      <c r="H22" s="859">
        <f t="shared" ref="H22:H28" si="4">E22-G22</f>
      </c>
      <c r="I22" s="899"/>
    </row>
    <row customHeight="true" ht="28" r="23">
      <c r="A23" s="872"/>
      <c r="B23" s="855"/>
      <c r="C23" s="900" t="s">
        <v>519</v>
      </c>
      <c r="D23" s="901" t="s">
        <v>520</v>
      </c>
      <c r="E23" s="902">
        <v>5</v>
      </c>
      <c r="F23" s="903" t="s">
        <v>500</v>
      </c>
      <c r="G23" s="903">
        <v>3</v>
      </c>
      <c r="H23" s="904">
        <f t="shared" si="4"/>
      </c>
      <c r="I23" s="848" t="s">
        <v>521</v>
      </c>
    </row>
    <row customHeight="true" ht="49" r="24">
      <c r="A24" s="872"/>
      <c r="B24" s="855"/>
      <c r="C24" s="905" t="s">
        <v>522</v>
      </c>
      <c r="D24" s="906" t="s">
        <v>523</v>
      </c>
      <c r="E24" s="879">
        <v>10</v>
      </c>
      <c r="F24" s="880" t="s">
        <v>493</v>
      </c>
      <c r="G24" s="880">
        <v>8</v>
      </c>
      <c r="H24" s="907">
        <f t="shared" si="4"/>
      </c>
      <c r="I24" s="908" t="s">
        <v>521</v>
      </c>
    </row>
    <row customHeight="true" ht="16" r="25">
      <c r="A25" s="872"/>
      <c r="B25" s="855"/>
      <c r="C25" s="905" t="s">
        <v>507</v>
      </c>
      <c r="D25" s="909" t="s">
        <v>524</v>
      </c>
      <c r="E25" s="879">
        <v>5</v>
      </c>
      <c r="F25" s="880" t="s">
        <v>477</v>
      </c>
      <c r="G25" s="880">
        <v>5</v>
      </c>
      <c r="H25" s="907">
        <f t="shared" si="4"/>
      </c>
    </row>
    <row customHeight="true" ht="16" r="26">
      <c r="A26" s="872"/>
      <c r="B26" s="855"/>
      <c r="C26" s="910" t="s">
        <v>525</v>
      </c>
      <c r="D26" s="911" t="s">
        <v>526</v>
      </c>
      <c r="E26" s="912">
        <v>5</v>
      </c>
      <c r="F26" s="913" t="s">
        <v>493</v>
      </c>
      <c r="G26" s="913">
        <v>4</v>
      </c>
      <c r="H26" s="904">
        <f t="shared" si="4"/>
      </c>
    </row>
    <row customHeight="true" ht="16" r="27">
      <c r="A27" s="872"/>
      <c r="B27" s="855"/>
      <c r="C27" s="914" t="s">
        <v>527</v>
      </c>
      <c r="D27" s="915" t="s">
        <v>528</v>
      </c>
      <c r="E27" s="916">
        <v>5</v>
      </c>
      <c r="F27" s="917" t="s">
        <v>481</v>
      </c>
      <c r="G27" s="918"/>
      <c r="H27" s="919">
        <f t="shared" si="4"/>
      </c>
    </row>
    <row customHeight="true" ht="32" r="28">
      <c r="A28" s="872"/>
      <c r="B28" s="855"/>
      <c r="C28" s="920" t="s">
        <v>529</v>
      </c>
      <c r="D28" s="921" t="s">
        <v>520</v>
      </c>
      <c r="E28" s="922">
        <v>5</v>
      </c>
      <c r="F28" s="923" t="s">
        <v>493</v>
      </c>
      <c r="G28" s="923">
        <v>0</v>
      </c>
      <c r="H28" s="907">
        <f t="shared" si="4"/>
      </c>
      <c r="I28" s="908" t="s">
        <v>521</v>
      </c>
      <c r="J28" s="848"/>
    </row>
    <row customHeight="true" ht="16" r="29">
      <c r="A29" s="872"/>
      <c r="B29" s="855"/>
      <c r="C29" s="893" t="s">
        <v>496</v>
      </c>
      <c r="D29" s="893"/>
      <c r="E29" s="894">
        <f>SUM(E22:E28)</f>
      </c>
      <c r="F29" s="895"/>
      <c r="G29" s="896"/>
      <c r="H29" s="894">
        <f>SUM(H22:H28)</f>
      </c>
    </row>
    <row customHeight="true" ht="16" r="30">
      <c r="A30" s="872"/>
      <c r="B30" s="855" t="s">
        <v>497</v>
      </c>
      <c r="C30" s="924" t="s">
        <v>530</v>
      </c>
      <c r="D30" s="925" t="s">
        <v>531</v>
      </c>
      <c r="E30" s="926">
        <v>5</v>
      </c>
      <c r="F30" s="927" t="s">
        <v>500</v>
      </c>
      <c r="G30" s="927">
        <v>4</v>
      </c>
      <c r="H30" s="928">
        <f>E30-G30</f>
      </c>
      <c r="I30" s="908" t="s">
        <v>521</v>
      </c>
      <c r="J30" s="849"/>
    </row>
    <row customHeight="true" ht="16" r="31">
      <c r="A31" s="872"/>
      <c r="B31" s="855"/>
      <c r="C31" s="893" t="s">
        <v>496</v>
      </c>
      <c r="D31" s="893"/>
      <c r="E31" s="894">
        <f>SUM(E30)</f>
      </c>
      <c r="F31" s="895"/>
      <c r="G31" s="896"/>
      <c r="H31" s="894">
        <f>SUM(H30)</f>
      </c>
      <c r="I31" s="849"/>
    </row>
    <row customHeight="true" ht="16" r="32">
      <c r="A32" s="850" t="s">
        <v>484</v>
      </c>
      <c r="B32" s="850"/>
      <c r="C32" s="850"/>
      <c r="D32" s="850"/>
      <c r="E32" s="851">
        <f>SUM(E29,E31)</f>
      </c>
      <c r="F32" s="852"/>
      <c r="G32" s="897"/>
      <c r="H32" s="851">
        <f>SUM(H29,H31)</f>
      </c>
      <c r="I32" s="849"/>
    </row>
    <row customHeight="true" ht="100" r="33">
      <c r="A33" s="905" t="s">
        <v>532</v>
      </c>
      <c r="B33" s="855" t="s">
        <v>533</v>
      </c>
      <c r="C33" s="905" t="s">
        <v>534</v>
      </c>
      <c r="D33" s="906" t="s">
        <v>535</v>
      </c>
      <c r="E33" s="879">
        <v>20</v>
      </c>
      <c r="F33" s="880" t="s">
        <v>477</v>
      </c>
      <c r="G33" s="880">
        <v>10</v>
      </c>
      <c r="H33" s="907">
        <f>E33-G33</f>
      </c>
      <c r="I33" s="849"/>
      <c r="J33" s="849"/>
    </row>
    <row customHeight="true" ht="16" r="34">
      <c r="A34" s="851"/>
      <c r="B34" s="851"/>
      <c r="C34" s="851" t="s">
        <v>496</v>
      </c>
      <c r="D34" s="929"/>
      <c r="E34" s="851">
        <f>SUM(E5,E21,E32,E33)</f>
      </c>
      <c r="F34" s="852"/>
      <c r="G34" s="930"/>
      <c r="H34" s="851">
        <f>SUM(H5,H21,H32,H33)</f>
      </c>
      <c r="I34" s="849"/>
      <c r="J34" s="849"/>
    </row>
    <row customHeight="true" ht="16" r="35">
      <c r="B35" s="849"/>
      <c r="C35" s="849"/>
      <c r="D35" s="849"/>
      <c r="E35" s="849"/>
      <c r="F35" s="848"/>
      <c r="G35" s="848"/>
      <c r="H35" s="848"/>
      <c r="I35" s="849"/>
      <c r="J35" s="849"/>
    </row>
    <row customHeight="true" ht="16" r="36">
      <c r="B36" s="849"/>
      <c r="C36" s="849"/>
      <c r="D36" s="849"/>
      <c r="E36" s="849"/>
      <c r="F36" s="848"/>
      <c r="G36" s="848"/>
      <c r="H36" s="848"/>
      <c r="I36" s="849"/>
      <c r="J36" s="849"/>
    </row>
    <row r="37">
      <c r="D37" s="849"/>
      <c r="E37" s="871" t="s">
        <v>536</v>
      </c>
      <c r="F37" s="931" t="s">
        <v>467</v>
      </c>
      <c r="G37" s="931" t="s">
        <v>537</v>
      </c>
      <c r="H37" s="931" t="s">
        <v>470</v>
      </c>
      <c r="I37" s="849"/>
    </row>
    <row r="38">
      <c r="D38" s="849"/>
      <c r="E38" s="932" t="s">
        <v>477</v>
      </c>
      <c r="F38" s="933">
        <f>SUMIF(F2:F34,"Huyền",E2:E34)</f>
      </c>
      <c r="G38" s="933">
        <f>SUMIF(F2:F34,"Huyền",G2:G34)</f>
      </c>
      <c r="H38" s="933">
        <f t="shared" ref="H38:H44" si="5">F38-G38</f>
      </c>
      <c r="I38" s="849"/>
    </row>
    <row r="39">
      <c r="D39" s="848"/>
      <c r="E39" s="931" t="s">
        <v>493</v>
      </c>
      <c r="F39" s="871">
        <f>SUMIF(F2:F34,"Hoa",E2:E34)</f>
      </c>
      <c r="G39" s="933">
        <f>SUMIF(F2:F34,"Hoa",G2:G34)</f>
      </c>
      <c r="H39" s="871">
        <f t="shared" si="5"/>
      </c>
      <c r="I39" s="849"/>
    </row>
    <row r="40">
      <c r="D40" s="848"/>
      <c r="E40" s="871" t="s">
        <v>483</v>
      </c>
      <c r="F40" s="896">
        <f>SUMIF(F2:F34,"Thúy",E2:E34)</f>
      </c>
      <c r="G40" s="933">
        <f>SUMIF(F2:F34,"Thúy",G2:G34)</f>
      </c>
      <c r="H40" s="871">
        <f t="shared" si="5"/>
      </c>
      <c r="I40" s="848" t="s">
        <v>538</v>
      </c>
    </row>
    <row r="41">
      <c r="D41" s="849"/>
      <c r="E41" s="934" t="s">
        <v>500</v>
      </c>
      <c r="F41" s="935">
        <f>SUMIF(F2:F34,"Linh",E2:E34)</f>
      </c>
      <c r="G41" s="936">
        <f>SUMIF(F2:F34,"Mai",G2:G34)</f>
      </c>
      <c r="H41" s="871">
        <f t="shared" si="5"/>
      </c>
      <c r="I41" s="849"/>
    </row>
    <row r="42">
      <c r="D42" s="848"/>
      <c r="E42" s="931" t="s">
        <v>481</v>
      </c>
      <c r="F42" s="937">
        <f>SUMIF(F2:F34,"Ngân",E2:E34)</f>
      </c>
      <c r="G42" s="936">
        <f>SUMIF(F2:F34,"Ngân",G2:G34)</f>
      </c>
      <c r="H42" s="938">
        <f t="shared" si="5"/>
      </c>
      <c r="I42" s="849"/>
    </row>
    <row customHeight="true" ht="16" r="43">
      <c r="D43" s="849"/>
      <c r="E43" s="931" t="s">
        <v>489</v>
      </c>
      <c r="F43" s="937">
        <f>SUMIF(F2:F34,"Mai",E2:E34)</f>
      </c>
      <c r="G43" s="936">
        <f>SUMIF(F3:F35,"Mai",G3:G35)</f>
      </c>
      <c r="H43" s="938">
        <f t="shared" si="5"/>
      </c>
      <c r="I43" s="849"/>
    </row>
    <row r="44">
      <c r="D44" s="849"/>
      <c r="E44" s="931" t="s">
        <v>496</v>
      </c>
      <c r="F44" s="871">
        <f>SUM(F38:F43)</f>
      </c>
      <c r="G44" s="871">
        <f>SUM(G38:G43)</f>
      </c>
      <c r="H44" s="938">
        <f t="shared" si="5"/>
      </c>
    </row>
    <row r="45">
      <c r="D45" s="848"/>
      <c r="E45" s="849"/>
      <c r="F45" s="849"/>
      <c r="G45" s="849"/>
    </row>
  </sheetData>
  <mergeCells>
    <mergeCell ref="B6:B9"/>
    <mergeCell ref="B10:B13"/>
    <mergeCell ref="B19:B20"/>
    <mergeCell ref="A6:A20"/>
    <mergeCell ref="B14:B18"/>
    <mergeCell ref="C9:D9"/>
    <mergeCell ref="C13:D13"/>
    <mergeCell ref="C20:D20"/>
    <mergeCell ref="A21:D21"/>
    <mergeCell ref="C18:D18"/>
    <mergeCell ref="A2:A4"/>
    <mergeCell ref="B2:B4"/>
    <mergeCell ref="A5:D5"/>
    <mergeCell ref="A32:D32"/>
    <mergeCell ref="C34:D34"/>
    <mergeCell ref="C31:D31"/>
    <mergeCell ref="C29:D29"/>
    <mergeCell ref="A22:A31"/>
    <mergeCell ref="B30:B31"/>
    <mergeCell ref="B22:B29"/>
    <mergeCell ref="I2:I4"/>
    <mergeCell ref="I14:I15"/>
    <mergeCell ref="I6:I8"/>
  </mergeCells>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2" min="2" style="0" width="22"/>
    <col collapsed="false" customWidth="true" hidden="false" max="4" min="4" style="0" width="29"/>
    <col collapsed="false" customWidth="true" hidden="false" max="6" min="6" style="0" width="11"/>
    <col collapsed="false" customWidth="true" hidden="false" max="8" min="8" style="0" width="11"/>
    <col collapsed="false" customWidth="true" hidden="false" max="10" min="10" style="0" width="55"/>
    <col collapsed="false" customWidth="true" hidden="false" max="1" min="1" style="0" width="22"/>
    <col collapsed="false" customWidth="true" hidden="false" max="3" min="3" style="0" width="22"/>
    <col collapsed="false" customWidth="true" hidden="false" max="5" min="5" style="0" width="11"/>
    <col collapsed="false" customWidth="true" hidden="false" max="7" min="7" style="0" width="11"/>
    <col collapsed="false" customWidth="true" hidden="false" max="9" min="9" style="0" width="18"/>
  </cols>
  <sheetData>
    <row r="1">
      <c r="A1" s="939" t="s">
        <v>539</v>
      </c>
      <c r="B1" s="939" t="s">
        <v>540</v>
      </c>
      <c r="C1" s="940" t="s">
        <v>541</v>
      </c>
      <c r="D1" s="939" t="s">
        <v>542</v>
      </c>
      <c r="E1" s="941" t="s">
        <v>543</v>
      </c>
      <c r="F1" s="942" t="s">
        <v>544</v>
      </c>
      <c r="G1" s="939" t="s">
        <v>545</v>
      </c>
      <c r="H1" s="939" t="s">
        <v>546</v>
      </c>
      <c r="I1" s="943" t="s">
        <v>547</v>
      </c>
      <c r="J1" s="944" t="s">
        <v>548</v>
      </c>
    </row>
    <row customHeight="true" ht="26" r="2">
      <c r="A2" s="945" t="s">
        <v>549</v>
      </c>
      <c r="B2" s="946" t="s">
        <v>550</v>
      </c>
      <c r="C2" s="947" t="s">
        <v>551</v>
      </c>
      <c r="D2" s="948" t="s">
        <v>552</v>
      </c>
      <c r="E2" s="949">
        <v>10</v>
      </c>
      <c r="F2" s="950" t="s">
        <v>553</v>
      </c>
      <c r="G2" s="950">
        <v>8</v>
      </c>
      <c r="H2" s="951">
        <f t="shared" ref="H2:H4" si="0">E2-G2</f>
      </c>
      <c r="I2" s="952" t="s">
        <v>554</v>
      </c>
    </row>
    <row customHeight="true" ht="20" r="3">
      <c r="A3" s="945"/>
      <c r="B3" s="946"/>
      <c r="C3" s="947" t="s">
        <v>555</v>
      </c>
      <c r="D3" s="948" t="s">
        <v>556</v>
      </c>
      <c r="E3" s="949">
        <v>10</v>
      </c>
      <c r="F3" s="950" t="s">
        <v>557</v>
      </c>
      <c r="G3" s="950">
        <v>10</v>
      </c>
      <c r="H3" s="951">
        <f t="shared" si="0"/>
      </c>
      <c r="I3" s="953"/>
    </row>
    <row customHeight="true" ht="19" r="4">
      <c r="A4" s="945"/>
      <c r="B4" s="946"/>
      <c r="C4" s="947" t="s">
        <v>558</v>
      </c>
      <c r="D4" s="948" t="s">
        <v>556</v>
      </c>
      <c r="E4" s="949">
        <v>10</v>
      </c>
      <c r="F4" s="950" t="s">
        <v>559</v>
      </c>
      <c r="G4" s="954">
        <v>10</v>
      </c>
      <c r="H4" s="951">
        <f t="shared" si="0"/>
      </c>
      <c r="I4" s="953"/>
    </row>
    <row customHeight="true" ht="16" r="5">
      <c r="A5" s="955" t="s">
        <v>560</v>
      </c>
      <c r="B5" s="955"/>
      <c r="C5" s="955"/>
      <c r="D5" s="955"/>
      <c r="E5" s="956">
        <f>SUM(E2:E4)</f>
      </c>
      <c r="F5" s="957"/>
      <c r="G5" s="957"/>
      <c r="H5" s="956">
        <f>SUM(H2:H4)</f>
      </c>
      <c r="I5" s="952"/>
      <c r="K5" s="958"/>
    </row>
    <row r="6">
      <c r="A6" s="959" t="s">
        <v>561</v>
      </c>
      <c r="B6" s="960" t="s">
        <v>562</v>
      </c>
      <c r="C6" s="959" t="s">
        <v>563</v>
      </c>
      <c r="D6" s="961" t="s">
        <v>564</v>
      </c>
      <c r="E6" s="962">
        <v>3</v>
      </c>
      <c r="F6" s="963" t="s">
        <v>565</v>
      </c>
      <c r="G6" s="963">
        <v>3</v>
      </c>
      <c r="H6" s="964">
        <f t="shared" ref="H6:H8" si="1">E6-G6</f>
      </c>
      <c r="I6" s="952" t="s">
        <v>566</v>
      </c>
      <c r="K6" s="958"/>
    </row>
    <row customHeight="true" ht="28" r="7">
      <c r="A7" s="959"/>
      <c r="B7" s="960"/>
      <c r="C7" s="965" t="s">
        <v>567</v>
      </c>
      <c r="D7" s="966" t="s">
        <v>568</v>
      </c>
      <c r="E7" s="967">
        <v>8</v>
      </c>
      <c r="F7" s="968" t="s">
        <v>569</v>
      </c>
      <c r="G7" s="968">
        <v>8</v>
      </c>
      <c r="H7" s="969">
        <f t="shared" si="1"/>
      </c>
      <c r="I7" s="952"/>
      <c r="J7" s="952"/>
    </row>
    <row customHeight="true" ht="34" r="8">
      <c r="A8" s="959"/>
      <c r="B8" s="960"/>
      <c r="C8" s="970" t="s">
        <v>570</v>
      </c>
      <c r="D8" s="971" t="s">
        <v>571</v>
      </c>
      <c r="E8" s="945">
        <v>2</v>
      </c>
      <c r="F8" s="972" t="s">
        <v>559</v>
      </c>
      <c r="G8" s="972"/>
      <c r="H8" s="973">
        <f t="shared" si="1"/>
      </c>
      <c r="I8" s="952"/>
    </row>
    <row customHeight="true" ht="16" r="9">
      <c r="A9" s="959"/>
      <c r="B9" s="960"/>
      <c r="C9" s="974" t="s">
        <v>572</v>
      </c>
      <c r="D9" s="974"/>
      <c r="E9" s="975">
        <f>SUM(E6:E8)</f>
      </c>
      <c r="F9" s="976"/>
      <c r="G9" s="977"/>
      <c r="H9" s="975">
        <f>SUM(H6:H8)</f>
      </c>
      <c r="I9" s="953"/>
    </row>
    <row customHeight="true" ht="54" r="10">
      <c r="A10" s="959"/>
      <c r="B10" s="960" t="s">
        <v>573</v>
      </c>
      <c r="C10" s="978" t="s">
        <v>574</v>
      </c>
      <c r="D10" s="979" t="s">
        <v>575</v>
      </c>
      <c r="E10" s="980">
        <v>10</v>
      </c>
      <c r="F10" s="981" t="s">
        <v>576</v>
      </c>
      <c r="G10" s="981">
        <v>10</v>
      </c>
      <c r="H10" s="982">
        <f t="shared" ref="H10:H12" si="2">E10-G10</f>
      </c>
      <c r="I10" s="952" t="s">
        <v>566</v>
      </c>
    </row>
    <row customHeight="true" ht="20" r="11">
      <c r="A11" s="959"/>
      <c r="B11" s="960"/>
      <c r="C11" s="983" t="s">
        <v>577</v>
      </c>
      <c r="D11" s="984" t="s">
        <v>578</v>
      </c>
      <c r="E11" s="985">
        <v>3</v>
      </c>
      <c r="F11" s="986" t="s">
        <v>557</v>
      </c>
      <c r="G11" s="986">
        <v>3</v>
      </c>
      <c r="H11" s="987">
        <f t="shared" si="2"/>
      </c>
      <c r="I11" s="952"/>
    </row>
    <row customHeight="true" ht="24" r="12">
      <c r="A12" s="959"/>
      <c r="B12" s="960"/>
      <c r="C12" s="988" t="s">
        <v>579</v>
      </c>
      <c r="D12" s="989" t="s">
        <v>578</v>
      </c>
      <c r="E12" s="990">
        <v>5</v>
      </c>
      <c r="F12" s="991" t="s">
        <v>559</v>
      </c>
      <c r="G12" s="991">
        <v>5</v>
      </c>
      <c r="H12" s="992">
        <f t="shared" si="2"/>
      </c>
      <c r="I12" s="952" t="s">
        <v>566</v>
      </c>
      <c r="J12" s="952"/>
    </row>
    <row customHeight="true" ht="16" r="13">
      <c r="A13" s="959"/>
      <c r="B13" s="960"/>
      <c r="C13" s="974" t="s">
        <v>572</v>
      </c>
      <c r="D13" s="974"/>
      <c r="E13" s="975">
        <f>SUM(E10:E12)</f>
      </c>
      <c r="F13" s="976"/>
      <c r="G13" s="977"/>
      <c r="H13" s="975">
        <f>SUM(H10:H12)</f>
      </c>
      <c r="I13" s="953"/>
    </row>
    <row customHeight="true" ht="26" r="14">
      <c r="A14" s="959"/>
      <c r="B14" s="946" t="s">
        <v>580</v>
      </c>
      <c r="C14" s="993" t="s">
        <v>581</v>
      </c>
      <c r="D14" s="994" t="s">
        <v>582</v>
      </c>
      <c r="E14" s="995">
        <v>3</v>
      </c>
      <c r="F14" s="996" t="s">
        <v>565</v>
      </c>
      <c r="G14" s="996">
        <v>3</v>
      </c>
      <c r="H14" s="997">
        <f t="shared" ref="H14:H17" si="3">E14-G14</f>
      </c>
      <c r="I14" s="952" t="s">
        <v>566</v>
      </c>
      <c r="J14" s="953"/>
    </row>
    <row customHeight="true" ht="26" r="15">
      <c r="A15" s="959"/>
      <c r="B15" s="946"/>
      <c r="C15" s="993" t="s">
        <v>583</v>
      </c>
      <c r="D15" s="994" t="s">
        <v>584</v>
      </c>
      <c r="E15" s="995">
        <v>3</v>
      </c>
      <c r="F15" s="996" t="s">
        <v>565</v>
      </c>
      <c r="G15" s="996">
        <v>3</v>
      </c>
      <c r="H15" s="997">
        <f t="shared" si="3"/>
      </c>
      <c r="I15" s="953"/>
      <c r="J15" s="953"/>
    </row>
    <row customHeight="true" ht="26" r="16">
      <c r="A16" s="959"/>
      <c r="B16" s="946"/>
      <c r="C16" s="993" t="s">
        <v>585</v>
      </c>
      <c r="D16" s="994" t="s">
        <v>586</v>
      </c>
      <c r="E16" s="995">
        <v>5</v>
      </c>
      <c r="F16" s="996" t="s">
        <v>553</v>
      </c>
      <c r="G16" s="996">
        <v>5</v>
      </c>
      <c r="H16" s="997">
        <f t="shared" si="3"/>
      </c>
      <c r="I16" s="953"/>
      <c r="J16" s="952"/>
    </row>
    <row customHeight="true" ht="26" r="17">
      <c r="A17" s="959"/>
      <c r="B17" s="946"/>
      <c r="C17" s="993" t="s">
        <v>587</v>
      </c>
      <c r="D17" s="994" t="s">
        <v>588</v>
      </c>
      <c r="E17" s="995">
        <v>5</v>
      </c>
      <c r="F17" s="996" t="s">
        <v>569</v>
      </c>
      <c r="G17" s="996">
        <v>3</v>
      </c>
      <c r="H17" s="997">
        <f t="shared" si="3"/>
      </c>
      <c r="I17" s="953"/>
      <c r="J17" s="953"/>
    </row>
    <row customHeight="true" ht="15" r="18">
      <c r="A18" s="959"/>
      <c r="B18" s="946"/>
      <c r="C18" s="998" t="s">
        <v>572</v>
      </c>
      <c r="D18" s="998"/>
      <c r="E18" s="999">
        <f>SUM(E14:E17)</f>
      </c>
      <c r="F18" s="1000"/>
      <c r="G18" s="1001"/>
      <c r="H18" s="999">
        <f>SUM(H14:H17)</f>
      </c>
      <c r="I18" s="953"/>
      <c r="J18" s="953"/>
    </row>
    <row customHeight="true" ht="48" r="19">
      <c r="A19" s="959"/>
      <c r="B19" s="960" t="s">
        <v>589</v>
      </c>
      <c r="C19" s="988" t="s">
        <v>590</v>
      </c>
      <c r="D19" s="989" t="s">
        <v>591</v>
      </c>
      <c r="E19" s="990">
        <v>5</v>
      </c>
      <c r="F19" s="991" t="s">
        <v>565</v>
      </c>
      <c r="G19" s="991">
        <v>5</v>
      </c>
      <c r="H19" s="992">
        <f>E19-G19</f>
      </c>
      <c r="I19" s="953"/>
    </row>
    <row customHeight="true" ht="13" r="20">
      <c r="A20" s="959"/>
      <c r="B20" s="960"/>
      <c r="C20" s="998" t="s">
        <v>572</v>
      </c>
      <c r="D20" s="998"/>
      <c r="E20" s="999">
        <f>SUM(E19)</f>
      </c>
      <c r="F20" s="1000"/>
      <c r="G20" s="1001"/>
      <c r="H20" s="999">
        <f>SUM(H19)</f>
      </c>
      <c r="I20" s="953"/>
    </row>
    <row customHeight="true" ht="16" r="21">
      <c r="A21" s="955" t="s">
        <v>560</v>
      </c>
      <c r="B21" s="955"/>
      <c r="C21" s="955"/>
      <c r="D21" s="955"/>
      <c r="E21" s="956">
        <f>SUM(E9,E13,E18,E20)</f>
      </c>
      <c r="F21" s="957"/>
      <c r="G21" s="1002"/>
      <c r="H21" s="956">
        <f>SUM(H9,H13,H18,H20)</f>
      </c>
      <c r="I21" s="953"/>
    </row>
    <row customHeight="true" ht="28" r="22">
      <c r="A22" s="978" t="s">
        <v>592</v>
      </c>
      <c r="B22" s="960" t="s">
        <v>580</v>
      </c>
      <c r="C22" s="1003" t="s">
        <v>593</v>
      </c>
      <c r="D22" s="1004" t="s">
        <v>594</v>
      </c>
      <c r="E22" s="1005">
        <v>5</v>
      </c>
      <c r="F22" s="1006" t="s">
        <v>576</v>
      </c>
      <c r="G22" s="1006">
        <v>5</v>
      </c>
      <c r="H22" s="1007">
        <f t="shared" ref="H22:H28" si="4">E22-G22</f>
      </c>
      <c r="I22" s="952" t="s">
        <v>595</v>
      </c>
    </row>
    <row customHeight="true" ht="37" r="23">
      <c r="A23" s="978"/>
      <c r="B23" s="960"/>
      <c r="C23" s="1008" t="s">
        <v>596</v>
      </c>
      <c r="D23" s="1009" t="s">
        <v>597</v>
      </c>
      <c r="E23" s="990">
        <v>5</v>
      </c>
      <c r="F23" s="991" t="s">
        <v>559</v>
      </c>
      <c r="G23" s="991">
        <v>5</v>
      </c>
      <c r="H23" s="1010">
        <f t="shared" si="4"/>
      </c>
      <c r="I23" s="1011"/>
    </row>
    <row customHeight="true" ht="49" r="24">
      <c r="A24" s="978"/>
      <c r="B24" s="960"/>
      <c r="C24" s="1012" t="s">
        <v>598</v>
      </c>
      <c r="D24" s="1013" t="s">
        <v>599</v>
      </c>
      <c r="E24" s="985">
        <v>8</v>
      </c>
      <c r="F24" s="986" t="s">
        <v>553</v>
      </c>
      <c r="G24" s="986"/>
      <c r="H24" s="1014">
        <f t="shared" si="4"/>
      </c>
      <c r="I24" s="1011" t="s">
        <v>595</v>
      </c>
    </row>
    <row customHeight="true" ht="16" r="25">
      <c r="A25" s="978"/>
      <c r="B25" s="960"/>
      <c r="C25" s="970" t="s">
        <v>583</v>
      </c>
      <c r="D25" s="1015" t="s">
        <v>600</v>
      </c>
      <c r="E25" s="945">
        <v>2</v>
      </c>
      <c r="F25" s="972" t="s">
        <v>576</v>
      </c>
      <c r="G25" s="972">
        <v>1</v>
      </c>
      <c r="H25" s="1016">
        <f t="shared" si="4"/>
      </c>
    </row>
    <row customHeight="true" ht="16" r="26">
      <c r="A26" s="978"/>
      <c r="B26" s="960"/>
      <c r="C26" s="1017" t="s">
        <v>601</v>
      </c>
      <c r="D26" s="1018" t="s">
        <v>602</v>
      </c>
      <c r="E26" s="1019">
        <v>2</v>
      </c>
      <c r="F26" s="1020" t="s">
        <v>559</v>
      </c>
      <c r="G26" s="1020"/>
      <c r="H26" s="1007">
        <f t="shared" si="4"/>
      </c>
    </row>
    <row customHeight="true" ht="16" r="27">
      <c r="A27" s="978"/>
      <c r="B27" s="960"/>
      <c r="C27" s="1021" t="s">
        <v>603</v>
      </c>
      <c r="D27" s="1022" t="s">
        <v>604</v>
      </c>
      <c r="E27" s="1023">
        <v>5</v>
      </c>
      <c r="F27" s="1024" t="s">
        <v>565</v>
      </c>
      <c r="G27" s="1024">
        <v>3</v>
      </c>
      <c r="H27" s="1025">
        <f t="shared" si="4"/>
      </c>
    </row>
    <row customHeight="true" ht="32" r="28">
      <c r="A28" s="978"/>
      <c r="B28" s="960"/>
      <c r="C28" s="1026" t="s">
        <v>605</v>
      </c>
      <c r="D28" s="1027" t="s">
        <v>594</v>
      </c>
      <c r="E28" s="1028">
        <v>7</v>
      </c>
      <c r="F28" s="1029" t="s">
        <v>569</v>
      </c>
      <c r="G28" s="1029">
        <v>6</v>
      </c>
      <c r="H28" s="1030">
        <f t="shared" si="4"/>
      </c>
      <c r="I28" s="1011" t="s">
        <v>595</v>
      </c>
      <c r="J28" s="952"/>
    </row>
    <row customHeight="true" ht="16" r="29">
      <c r="A29" s="978"/>
      <c r="B29" s="960"/>
      <c r="C29" s="998" t="s">
        <v>572</v>
      </c>
      <c r="D29" s="998"/>
      <c r="E29" s="999">
        <f>SUM(E22:E28)</f>
      </c>
      <c r="F29" s="1000"/>
      <c r="G29" s="1001"/>
      <c r="H29" s="999">
        <f>SUM(H22:H28)</f>
      </c>
    </row>
    <row customHeight="true" ht="16" r="30">
      <c r="A30" s="978"/>
      <c r="B30" s="960" t="s">
        <v>573</v>
      </c>
      <c r="C30" s="1031" t="s">
        <v>606</v>
      </c>
      <c r="D30" s="1032" t="s">
        <v>607</v>
      </c>
      <c r="E30" s="1033">
        <v>5</v>
      </c>
      <c r="F30" s="1034" t="s">
        <v>565</v>
      </c>
      <c r="G30" s="1034">
        <v>5</v>
      </c>
      <c r="H30" s="1035">
        <f>E30-G30</f>
      </c>
      <c r="I30" s="1011" t="s">
        <v>595</v>
      </c>
      <c r="J30" s="953"/>
    </row>
    <row customHeight="true" ht="16" r="31">
      <c r="A31" s="978"/>
      <c r="B31" s="960"/>
      <c r="C31" s="998" t="s">
        <v>572</v>
      </c>
      <c r="D31" s="998"/>
      <c r="E31" s="999">
        <f>SUM(E30)</f>
      </c>
      <c r="F31" s="1000"/>
      <c r="G31" s="1001"/>
      <c r="H31" s="999">
        <f>SUM(H30)</f>
      </c>
      <c r="I31" s="953"/>
    </row>
    <row customHeight="true" ht="16" r="32">
      <c r="A32" s="955" t="s">
        <v>560</v>
      </c>
      <c r="B32" s="955"/>
      <c r="C32" s="955"/>
      <c r="D32" s="955"/>
      <c r="E32" s="956">
        <f>SUM(E29,E31)</f>
      </c>
      <c r="F32" s="957"/>
      <c r="G32" s="1002"/>
      <c r="H32" s="956">
        <f>SUM(H29,H31)</f>
      </c>
      <c r="I32" s="953"/>
    </row>
    <row customHeight="true" ht="100" r="33">
      <c r="A33" s="1012" t="s">
        <v>608</v>
      </c>
      <c r="B33" s="960" t="s">
        <v>609</v>
      </c>
      <c r="C33" s="1012" t="s">
        <v>610</v>
      </c>
      <c r="D33" s="1013" t="s">
        <v>611</v>
      </c>
      <c r="E33" s="985">
        <v>15</v>
      </c>
      <c r="F33" s="986" t="s">
        <v>553</v>
      </c>
      <c r="G33" s="986">
        <v>10</v>
      </c>
      <c r="H33" s="1014">
        <f>E33-G33</f>
      </c>
      <c r="I33" s="953"/>
      <c r="J33" s="953"/>
    </row>
    <row customHeight="true" ht="17" r="34">
      <c r="A34" s="955" t="s">
        <v>560</v>
      </c>
      <c r="B34" s="955"/>
      <c r="C34" s="955"/>
      <c r="D34" s="955"/>
      <c r="E34" s="956">
        <f>SUM(E33)</f>
      </c>
      <c r="F34" s="957"/>
      <c r="G34" s="1002"/>
      <c r="H34" s="956">
        <f>SUM(H33)</f>
      </c>
      <c r="I34" s="953"/>
      <c r="J34" s="953"/>
    </row>
    <row customHeight="true" ht="29" r="35">
      <c r="A35" s="1012" t="s">
        <v>612</v>
      </c>
      <c r="B35" s="960" t="s">
        <v>613</v>
      </c>
      <c r="C35" s="1008" t="s">
        <v>614</v>
      </c>
      <c r="D35" s="1009" t="s">
        <v>615</v>
      </c>
      <c r="E35" s="990">
        <v>3</v>
      </c>
      <c r="F35" s="991" t="s">
        <v>557</v>
      </c>
      <c r="G35" s="991">
        <v>3</v>
      </c>
      <c r="H35" s="1010">
        <f t="shared" ref="H35:H38" si="5">E35-G35</f>
      </c>
      <c r="I35" s="953"/>
      <c r="J35" s="953"/>
    </row>
    <row customHeight="true" ht="50" r="36">
      <c r="A36" s="1012"/>
      <c r="B36" s="960"/>
      <c r="C36" s="1036" t="s">
        <v>574</v>
      </c>
      <c r="D36" s="1037" t="s">
        <v>616</v>
      </c>
      <c r="E36" s="1038">
        <v>7</v>
      </c>
      <c r="F36" s="1039" t="s">
        <v>569</v>
      </c>
      <c r="G36" s="1039">
        <v>7</v>
      </c>
      <c r="H36" s="1040">
        <f t="shared" si="5"/>
      </c>
      <c r="I36" s="953"/>
      <c r="J36" s="953"/>
    </row>
    <row customHeight="true" ht="16" r="37">
      <c r="A37" s="1012"/>
      <c r="B37" s="960"/>
      <c r="C37" s="959" t="s">
        <v>617</v>
      </c>
      <c r="D37" s="1041" t="s">
        <v>615</v>
      </c>
      <c r="E37" s="962">
        <v>3</v>
      </c>
      <c r="F37" s="963" t="s">
        <v>565</v>
      </c>
      <c r="G37" s="963"/>
      <c r="H37" s="1042">
        <f t="shared" si="5"/>
      </c>
      <c r="I37" s="953"/>
      <c r="J37" s="953"/>
    </row>
    <row customHeight="true" ht="48" r="38">
      <c r="A38" s="1012"/>
      <c r="B38" s="960"/>
      <c r="C38" s="970" t="s">
        <v>583</v>
      </c>
      <c r="D38" s="971" t="s">
        <v>618</v>
      </c>
      <c r="E38" s="945">
        <v>3</v>
      </c>
      <c r="F38" s="972" t="s">
        <v>565</v>
      </c>
      <c r="G38" s="972"/>
      <c r="H38" s="1016">
        <f t="shared" si="5"/>
      </c>
      <c r="I38" s="953"/>
      <c r="J38" s="953"/>
    </row>
    <row customHeight="true" ht="16" r="39">
      <c r="A39" s="955" t="s">
        <v>560</v>
      </c>
      <c r="B39" s="955"/>
      <c r="C39" s="955"/>
      <c r="D39" s="955"/>
      <c r="E39" s="956">
        <f>SUM(E35:E38)</f>
      </c>
      <c r="F39" s="957"/>
      <c r="G39" s="1002"/>
      <c r="H39" s="956">
        <f>SUM(H35:H38)</f>
      </c>
      <c r="I39" s="953"/>
      <c r="J39" s="953"/>
    </row>
    <row customHeight="true" ht="16" r="40">
      <c r="A40" s="956"/>
      <c r="B40" s="956"/>
      <c r="C40" s="956" t="s">
        <v>572</v>
      </c>
      <c r="D40" s="1043"/>
      <c r="E40" s="956">
        <f>SUM(E5,E21,E32,E34,E39)</f>
      </c>
      <c r="F40" s="957"/>
      <c r="G40" s="1044"/>
      <c r="H40" s="956">
        <f>SUM(H5,H21,H32,H34,H39)</f>
      </c>
      <c r="I40" s="953"/>
      <c r="J40" s="953"/>
    </row>
    <row customHeight="true" ht="16" r="41">
      <c r="B41" s="953"/>
      <c r="C41" s="953"/>
      <c r="D41" s="953"/>
      <c r="E41" s="953"/>
      <c r="F41" s="952"/>
      <c r="G41" s="952"/>
      <c r="H41" s="952"/>
      <c r="I41" s="953"/>
      <c r="J41" s="953"/>
    </row>
    <row customHeight="true" ht="16" r="42">
      <c r="B42" s="953"/>
      <c r="C42" s="953"/>
      <c r="D42" s="953"/>
      <c r="E42" s="953"/>
      <c r="F42" s="952"/>
      <c r="G42" s="952"/>
      <c r="H42" s="952"/>
      <c r="I42" s="953"/>
      <c r="J42" s="953"/>
    </row>
    <row r="43">
      <c r="D43" s="953"/>
      <c r="E43" s="977" t="s">
        <v>619</v>
      </c>
      <c r="F43" s="1045" t="s">
        <v>543</v>
      </c>
      <c r="G43" s="1045" t="s">
        <v>620</v>
      </c>
      <c r="H43" s="1045" t="s">
        <v>546</v>
      </c>
      <c r="I43" s="953"/>
    </row>
    <row r="44">
      <c r="D44" s="953"/>
      <c r="E44" s="1046" t="s">
        <v>553</v>
      </c>
      <c r="F44" s="1047">
        <f>SUMIF(F2:F40,"Huyền",E2:E40)</f>
      </c>
      <c r="G44" s="1047">
        <f>SUMIF(F2:F40,"Huyền",G2:G40)</f>
      </c>
      <c r="H44" s="1047">
        <f t="shared" ref="H44:H50" si="6">F44-G44</f>
      </c>
      <c r="I44" s="953"/>
    </row>
    <row r="45">
      <c r="D45" s="952"/>
      <c r="E45" s="1045" t="s">
        <v>569</v>
      </c>
      <c r="F45" s="977">
        <f>SUMIF(F2:F40,"Hoa",E2:E40)</f>
      </c>
      <c r="G45" s="1047">
        <f>SUMIF(F2:F40,"Hoa",G2:G40)</f>
      </c>
      <c r="H45" s="977">
        <f t="shared" si="6"/>
      </c>
      <c r="I45" s="953"/>
    </row>
    <row r="46">
      <c r="D46" s="952"/>
      <c r="E46" s="977" t="s">
        <v>559</v>
      </c>
      <c r="F46" s="1001">
        <f>SUMIF(F2:F40,"Thúy",E2:E40)</f>
      </c>
      <c r="G46" s="1047">
        <f>SUMIF(F2:F40,"Thúy",G2:G40)</f>
      </c>
      <c r="H46" s="977">
        <f t="shared" si="6"/>
      </c>
      <c r="I46" s="952" t="s">
        <v>621</v>
      </c>
    </row>
    <row r="47">
      <c r="D47" s="953"/>
      <c r="E47" s="1048" t="s">
        <v>576</v>
      </c>
      <c r="F47" s="1049">
        <f>SUMIF(F2:F40,"Linh",E2:E40)</f>
      </c>
      <c r="G47" s="1050">
        <f>SUMIF(F2:F40,"Mai",G2:G40)</f>
      </c>
      <c r="H47" s="977">
        <f t="shared" si="6"/>
      </c>
      <c r="I47" s="953"/>
    </row>
    <row r="48">
      <c r="D48" s="952"/>
      <c r="E48" s="1045" t="s">
        <v>565</v>
      </c>
      <c r="F48" s="1051">
        <f>SUMIF(F2:F40,"Ngân",E2:E40)</f>
      </c>
      <c r="G48" s="1050">
        <f>SUMIF(F2:F40,"Ngân",G2:G40)</f>
      </c>
      <c r="H48" s="1052">
        <f t="shared" si="6"/>
      </c>
      <c r="I48" s="953"/>
    </row>
    <row customHeight="true" ht="16" r="49">
      <c r="D49" s="953"/>
      <c r="E49" s="1045" t="s">
        <v>557</v>
      </c>
      <c r="F49" s="1051">
        <f>SUMIF(F2:F40,"Mai",E2:E40)</f>
      </c>
      <c r="G49" s="1050">
        <f>SUMIF(F3:F41,"Mai",G3:G41)</f>
      </c>
      <c r="H49" s="1052">
        <f t="shared" si="6"/>
      </c>
      <c r="I49" s="953"/>
    </row>
    <row r="50">
      <c r="D50" s="953"/>
      <c r="E50" s="1045" t="s">
        <v>572</v>
      </c>
      <c r="F50" s="977">
        <f>SUM(F44:F49)</f>
      </c>
      <c r="G50" s="977">
        <f>SUM(G44:G49)</f>
      </c>
      <c r="H50" s="1052">
        <f t="shared" si="6"/>
      </c>
    </row>
    <row r="51">
      <c r="D51" s="952"/>
      <c r="E51" s="953"/>
      <c r="F51" s="953"/>
      <c r="G51" s="953"/>
    </row>
  </sheetData>
  <mergeCells>
    <mergeCell ref="C31:D31"/>
    <mergeCell ref="C29:D29"/>
    <mergeCell ref="A22:A31"/>
    <mergeCell ref="B30:B31"/>
    <mergeCell ref="B22:B29"/>
    <mergeCell ref="I6:I8"/>
    <mergeCell ref="I14:I15"/>
    <mergeCell ref="I2:I4"/>
    <mergeCell ref="A5:D5"/>
    <mergeCell ref="B2:B4"/>
    <mergeCell ref="A2:A4"/>
    <mergeCell ref="C18:D18"/>
    <mergeCell ref="A21:D21"/>
    <mergeCell ref="C20:D20"/>
    <mergeCell ref="C13:D13"/>
    <mergeCell ref="C9:D9"/>
    <mergeCell ref="B14:B18"/>
    <mergeCell ref="A6:A20"/>
    <mergeCell ref="B19:B20"/>
    <mergeCell ref="B10:B13"/>
    <mergeCell ref="B6:B9"/>
    <mergeCell ref="C40:D40"/>
    <mergeCell ref="B35:B38"/>
    <mergeCell ref="A35:A38"/>
    <mergeCell ref="A32:D32"/>
    <mergeCell ref="A34:D34"/>
    <mergeCell ref="A39:D39"/>
  </mergeCells>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6" min="6" style="0" width="11"/>
    <col collapsed="false" customWidth="true" hidden="false" max="8" min="8" style="0" width="11"/>
    <col collapsed="false" customWidth="true" hidden="false" max="10" min="10" style="0" width="55"/>
    <col collapsed="false" customWidth="true" hidden="false" max="2" min="2" style="0" width="22"/>
    <col collapsed="false" customWidth="true" hidden="false" max="4" min="4" style="0" width="29"/>
    <col collapsed="false" customWidth="true" hidden="false" max="5" min="5" style="0" width="11"/>
    <col collapsed="false" customWidth="true" hidden="false" max="7" min="7" style="0" width="11"/>
    <col collapsed="false" customWidth="true" hidden="false" max="9" min="9" style="0" width="18"/>
    <col collapsed="false" customWidth="true" hidden="false" max="1" min="1" style="0" width="22"/>
    <col collapsed="false" customWidth="true" hidden="false" max="3" min="3" style="0" width="22"/>
  </cols>
  <sheetData>
    <row r="1">
      <c r="A1" s="1053" t="s">
        <v>622</v>
      </c>
      <c r="B1" s="1053" t="s">
        <v>623</v>
      </c>
      <c r="C1" s="1054" t="s">
        <v>624</v>
      </c>
      <c r="D1" s="1053" t="s">
        <v>625</v>
      </c>
      <c r="E1" s="1055" t="s">
        <v>626</v>
      </c>
      <c r="F1" s="1056" t="s">
        <v>627</v>
      </c>
      <c r="G1" s="1053" t="s">
        <v>628</v>
      </c>
      <c r="H1" s="1053" t="s">
        <v>629</v>
      </c>
      <c r="I1" s="1057" t="s">
        <v>630</v>
      </c>
      <c r="J1" s="1058" t="s">
        <v>631</v>
      </c>
    </row>
    <row customHeight="true" ht="20" r="2">
      <c r="A2" s="1059" t="s">
        <v>632</v>
      </c>
      <c r="B2" s="1060" t="s">
        <v>633</v>
      </c>
      <c r="C2" s="1061" t="s">
        <v>634</v>
      </c>
      <c r="D2" s="1062" t="s">
        <v>635</v>
      </c>
      <c r="E2" s="1063">
        <v>5</v>
      </c>
      <c r="F2" s="1064" t="s">
        <v>636</v>
      </c>
      <c r="G2" s="1064">
        <v>3</v>
      </c>
      <c r="H2" s="1065">
        <f>E2-G2</f>
      </c>
      <c r="I2" s="1066" t="s">
        <v>637</v>
      </c>
    </row>
    <row customHeight="true" ht="16" r="3">
      <c r="A3" s="1067" t="s">
        <v>638</v>
      </c>
      <c r="B3" s="1067"/>
      <c r="C3" s="1067"/>
      <c r="D3" s="1067"/>
      <c r="E3" s="1068">
        <f>SUM(E2)</f>
      </c>
      <c r="F3" s="1069"/>
      <c r="G3" s="1069"/>
      <c r="H3" s="1068">
        <f>SUM(H2)</f>
      </c>
      <c r="I3" s="1066"/>
      <c r="K3" s="1070"/>
    </row>
    <row r="4">
      <c r="A4" s="1071" t="s">
        <v>639</v>
      </c>
      <c r="B4" s="1072" t="s">
        <v>640</v>
      </c>
      <c r="C4" s="1071" t="s">
        <v>641</v>
      </c>
      <c r="D4" s="1073" t="s">
        <v>642</v>
      </c>
      <c r="E4" s="1074">
        <v>5</v>
      </c>
      <c r="F4" s="1075" t="s">
        <v>643</v>
      </c>
      <c r="G4" s="1075">
        <v>4</v>
      </c>
      <c r="H4" s="1076">
        <f t="shared" ref="H4:H8" si="0">E4-G4</f>
      </c>
      <c r="I4" s="1066"/>
      <c r="K4" s="1070"/>
    </row>
    <row customHeight="true" ht="28" r="5">
      <c r="A5" s="1071"/>
      <c r="B5" s="1072"/>
      <c r="C5" s="1077" t="s">
        <v>644</v>
      </c>
      <c r="D5" s="1078" t="s">
        <v>645</v>
      </c>
      <c r="E5" s="1079">
        <v>5</v>
      </c>
      <c r="F5" s="1080" t="s">
        <v>646</v>
      </c>
      <c r="G5" s="1080">
        <v>0</v>
      </c>
      <c r="H5" s="1081">
        <f t="shared" si="0"/>
      </c>
      <c r="I5" s="1066"/>
      <c r="J5" s="1066"/>
    </row>
    <row customHeight="true" ht="34" r="6">
      <c r="A6" s="1071"/>
      <c r="B6" s="1072"/>
      <c r="C6" s="1082" t="s">
        <v>647</v>
      </c>
      <c r="D6" s="1083" t="s">
        <v>642</v>
      </c>
      <c r="E6" s="1059">
        <v>5</v>
      </c>
      <c r="F6" s="1084" t="s">
        <v>636</v>
      </c>
      <c r="G6" s="1084">
        <v>1</v>
      </c>
      <c r="H6" s="1085">
        <f t="shared" si="0"/>
      </c>
      <c r="I6" s="1066"/>
    </row>
    <row customHeight="true" ht="34" r="7">
      <c r="A7" s="1071"/>
      <c r="B7" s="1072"/>
      <c r="C7" s="1086" t="s">
        <v>634</v>
      </c>
      <c r="D7" s="1087" t="s">
        <v>648</v>
      </c>
      <c r="E7" s="1088">
        <v>10</v>
      </c>
      <c r="F7" s="1089" t="s">
        <v>649</v>
      </c>
      <c r="G7" s="1089">
        <v>10</v>
      </c>
      <c r="H7" s="1090">
        <f t="shared" si="0"/>
      </c>
      <c r="I7" s="1066" t="s">
        <v>650</v>
      </c>
    </row>
    <row customHeight="true" ht="34" r="8">
      <c r="A8" s="1071"/>
      <c r="B8" s="1072"/>
      <c r="C8" s="1091" t="s">
        <v>651</v>
      </c>
      <c r="D8" s="1092" t="s">
        <v>645</v>
      </c>
      <c r="E8" s="1093">
        <v>10</v>
      </c>
      <c r="F8" s="1094" t="s">
        <v>646</v>
      </c>
      <c r="G8" s="1094">
        <v>10</v>
      </c>
      <c r="H8" s="1095">
        <f t="shared" si="0"/>
      </c>
      <c r="I8" s="1066" t="s">
        <v>650</v>
      </c>
    </row>
    <row customHeight="true" ht="16" r="9">
      <c r="A9" s="1071"/>
      <c r="B9" s="1072"/>
      <c r="C9" s="1096" t="s">
        <v>652</v>
      </c>
      <c r="D9" s="1096"/>
      <c r="E9" s="1097">
        <f>SUM(E4:E8)</f>
      </c>
      <c r="F9" s="1098"/>
      <c r="G9" s="1099"/>
      <c r="H9" s="1097">
        <f>SUM(H4:H6)</f>
      </c>
      <c r="I9" s="1100"/>
    </row>
    <row customHeight="true" ht="54" r="10">
      <c r="A10" s="1071"/>
      <c r="B10" s="1072" t="s">
        <v>653</v>
      </c>
      <c r="C10" s="1101" t="s">
        <v>654</v>
      </c>
      <c r="D10" s="1102" t="s">
        <v>655</v>
      </c>
      <c r="E10" s="1103">
        <v>15</v>
      </c>
      <c r="F10" s="1104" t="s">
        <v>656</v>
      </c>
      <c r="G10" s="1104">
        <v>11</v>
      </c>
      <c r="H10" s="1105">
        <f t="shared" ref="H10:H13" si="1">E10-G10</f>
      </c>
      <c r="I10" s="1066" t="s">
        <v>657</v>
      </c>
    </row>
    <row customHeight="true" ht="54" r="11">
      <c r="A11" s="1071"/>
      <c r="B11" s="1072"/>
      <c r="C11" s="1101"/>
      <c r="D11" s="1102" t="s">
        <v>658</v>
      </c>
      <c r="E11" s="1103">
        <v>5</v>
      </c>
      <c r="F11" s="1104" t="s">
        <v>659</v>
      </c>
      <c r="G11" s="1104">
        <v>4</v>
      </c>
      <c r="H11" s="1105">
        <f t="shared" si="1"/>
      </c>
      <c r="I11" s="1066"/>
    </row>
    <row customHeight="true" ht="44" r="12">
      <c r="A12" s="1071"/>
      <c r="B12" s="1072"/>
      <c r="C12" s="1106" t="s">
        <v>660</v>
      </c>
      <c r="D12" s="1107" t="s">
        <v>661</v>
      </c>
      <c r="E12" s="1093">
        <v>10</v>
      </c>
      <c r="F12" s="1094" t="s">
        <v>662</v>
      </c>
      <c r="G12" s="1094">
        <v>6</v>
      </c>
      <c r="H12" s="1095">
        <f t="shared" si="1"/>
      </c>
      <c r="I12" s="1066"/>
    </row>
    <row customHeight="true" ht="24" r="13">
      <c r="A13" s="1071"/>
      <c r="B13" s="1072"/>
      <c r="C13" s="1108" t="s">
        <v>663</v>
      </c>
      <c r="D13" s="1109" t="s">
        <v>664</v>
      </c>
      <c r="E13" s="1088">
        <v>5</v>
      </c>
      <c r="F13" s="1089" t="s">
        <v>636</v>
      </c>
      <c r="G13" s="1089">
        <v>5</v>
      </c>
      <c r="H13" s="1090">
        <f t="shared" si="1"/>
      </c>
      <c r="I13" s="1066"/>
      <c r="J13" s="1066"/>
    </row>
    <row customHeight="true" ht="16" r="14">
      <c r="A14" s="1071"/>
      <c r="B14" s="1072"/>
      <c r="C14" s="1096" t="s">
        <v>652</v>
      </c>
      <c r="D14" s="1096"/>
      <c r="E14" s="1097">
        <f>SUM(E10:E13)</f>
      </c>
      <c r="F14" s="1098"/>
      <c r="G14" s="1099"/>
      <c r="H14" s="1097">
        <f>SUM(H10:H13)</f>
      </c>
      <c r="I14" s="1100"/>
    </row>
    <row customHeight="true" ht="26" r="15">
      <c r="A15" s="1071"/>
      <c r="B15" s="1060" t="s">
        <v>665</v>
      </c>
      <c r="C15" s="1110" t="s">
        <v>666</v>
      </c>
      <c r="D15" s="1111" t="s">
        <v>667</v>
      </c>
      <c r="E15" s="1112">
        <v>5</v>
      </c>
      <c r="F15" s="1113" t="s">
        <v>668</v>
      </c>
      <c r="G15" s="1113">
        <v>5</v>
      </c>
      <c r="H15" s="1114">
        <f t="shared" ref="H15:H18" si="2">E15-G15</f>
      </c>
      <c r="J15" s="1100"/>
    </row>
    <row customHeight="true" ht="26" r="16">
      <c r="A16" s="1071"/>
      <c r="B16" s="1060"/>
      <c r="C16" s="1110" t="s">
        <v>669</v>
      </c>
      <c r="D16" s="1111" t="s">
        <v>670</v>
      </c>
      <c r="E16" s="1112">
        <v>5</v>
      </c>
      <c r="F16" s="1113" t="s">
        <v>662</v>
      </c>
      <c r="G16" s="1113">
        <v>2</v>
      </c>
      <c r="H16" s="1114">
        <f t="shared" si="2"/>
      </c>
      <c r="I16" s="1066"/>
      <c r="J16" s="1100"/>
    </row>
    <row customHeight="true" ht="26" r="17">
      <c r="A17" s="1071"/>
      <c r="B17" s="1060"/>
      <c r="C17" s="1110" t="s">
        <v>671</v>
      </c>
      <c r="D17" s="1111" t="s">
        <v>672</v>
      </c>
      <c r="E17" s="1112">
        <v>5</v>
      </c>
      <c r="F17" s="1113" t="s">
        <v>668</v>
      </c>
      <c r="G17" s="1113"/>
      <c r="H17" s="1114">
        <f t="shared" si="2"/>
      </c>
      <c r="I17" s="1100"/>
      <c r="J17" s="1066"/>
    </row>
    <row customHeight="true" ht="26" r="18">
      <c r="A18" s="1071"/>
      <c r="B18" s="1060"/>
      <c r="C18" s="1110" t="s">
        <v>673</v>
      </c>
      <c r="D18" s="1111" t="s">
        <v>674</v>
      </c>
      <c r="E18" s="1112">
        <v>10</v>
      </c>
      <c r="F18" s="1113" t="s">
        <v>668</v>
      </c>
      <c r="G18" s="1113"/>
      <c r="H18" s="1114">
        <f t="shared" si="2"/>
      </c>
      <c r="I18" s="1066" t="s">
        <v>675</v>
      </c>
      <c r="J18" s="1100"/>
    </row>
    <row customHeight="true" ht="26" r="19">
      <c r="A19" s="1071"/>
      <c r="B19" s="1060"/>
      <c r="C19" s="1110" t="s">
        <v>676</v>
      </c>
      <c r="D19" s="1111"/>
      <c r="E19" s="1112">
        <v>5</v>
      </c>
      <c r="F19" s="1113" t="s">
        <v>668</v>
      </c>
      <c r="G19" s="1113">
        <v>2</v>
      </c>
      <c r="H19" s="1114"/>
      <c r="I19" s="1066"/>
      <c r="J19" s="1100"/>
    </row>
    <row customHeight="true" ht="15" r="20">
      <c r="A20" s="1071"/>
      <c r="B20" s="1060"/>
      <c r="C20" s="1115" t="s">
        <v>652</v>
      </c>
      <c r="D20" s="1115"/>
      <c r="E20" s="1116">
        <f>SUM(E15:E19)</f>
      </c>
      <c r="F20" s="1117"/>
      <c r="G20" s="1118"/>
      <c r="H20" s="1116">
        <f>SUM(H15:H18)</f>
      </c>
      <c r="I20" s="1100"/>
      <c r="J20" s="1100"/>
    </row>
    <row customHeight="true" ht="78" r="21">
      <c r="A21" s="1071"/>
      <c r="B21" s="1072" t="s">
        <v>677</v>
      </c>
      <c r="C21" s="1108" t="s">
        <v>678</v>
      </c>
      <c r="D21" s="1109" t="s">
        <v>679</v>
      </c>
      <c r="E21" s="1088">
        <v>5</v>
      </c>
      <c r="F21" s="1089" t="s">
        <v>643</v>
      </c>
      <c r="G21" s="1089">
        <v>3</v>
      </c>
      <c r="H21" s="1090">
        <f t="shared" ref="H21:H24" si="3">E21-G21</f>
      </c>
      <c r="I21" s="1100"/>
    </row>
    <row customHeight="true" ht="80" r="22">
      <c r="A22" s="1071"/>
      <c r="B22" s="1072"/>
      <c r="C22" s="1119" t="s">
        <v>680</v>
      </c>
      <c r="D22" s="1120" t="s">
        <v>681</v>
      </c>
      <c r="E22" s="1059">
        <v>5</v>
      </c>
      <c r="F22" s="1084" t="s">
        <v>636</v>
      </c>
      <c r="G22" s="1084">
        <v>6</v>
      </c>
      <c r="H22" s="1085">
        <f t="shared" si="3"/>
      </c>
      <c r="I22" s="1100"/>
    </row>
    <row customHeight="true" ht="81" r="23">
      <c r="A23" s="1071"/>
      <c r="B23" s="1072"/>
      <c r="C23" s="1121" t="s">
        <v>682</v>
      </c>
      <c r="D23" s="1122" t="s">
        <v>681</v>
      </c>
      <c r="E23" s="1123">
        <v>5</v>
      </c>
      <c r="F23" s="1124" t="s">
        <v>636</v>
      </c>
      <c r="G23" s="1124">
        <v>4</v>
      </c>
      <c r="H23" s="1125">
        <f t="shared" si="3"/>
      </c>
      <c r="I23" s="1100"/>
    </row>
    <row customHeight="true" ht="69" r="24">
      <c r="A24" s="1071"/>
      <c r="B24" s="1072"/>
      <c r="C24" s="1126" t="s">
        <v>683</v>
      </c>
      <c r="D24" s="1127" t="s">
        <v>681</v>
      </c>
      <c r="E24" s="1079">
        <v>5</v>
      </c>
      <c r="F24" s="1080" t="s">
        <v>636</v>
      </c>
      <c r="G24" s="1080">
        <v>5</v>
      </c>
      <c r="H24" s="1081">
        <f t="shared" si="3"/>
      </c>
      <c r="I24" s="1100"/>
    </row>
    <row customHeight="true" ht="13" r="25">
      <c r="A25" s="1071"/>
      <c r="B25" s="1072"/>
      <c r="C25" s="1115" t="s">
        <v>652</v>
      </c>
      <c r="D25" s="1115"/>
      <c r="E25" s="1116">
        <f>SUM(E21:E24)</f>
      </c>
      <c r="F25" s="1117"/>
      <c r="G25" s="1118"/>
      <c r="H25" s="1116">
        <f>SUM(H21)</f>
      </c>
      <c r="I25" s="1100"/>
    </row>
    <row customHeight="true" ht="16" r="26">
      <c r="A26" s="1067" t="s">
        <v>638</v>
      </c>
      <c r="B26" s="1067"/>
      <c r="C26" s="1067"/>
      <c r="D26" s="1067"/>
      <c r="E26" s="1068">
        <f>SUM(E9,E14,E20,E25)</f>
      </c>
      <c r="F26" s="1069"/>
      <c r="G26" s="1128"/>
      <c r="H26" s="1068">
        <f>SUM(H9,H14,H20,H25)</f>
      </c>
      <c r="I26" s="1100"/>
    </row>
    <row customHeight="true" ht="28" r="27">
      <c r="A27" s="1101" t="s">
        <v>684</v>
      </c>
      <c r="B27" s="1072" t="s">
        <v>665</v>
      </c>
      <c r="C27" s="1129" t="s">
        <v>685</v>
      </c>
      <c r="D27" s="1130" t="s">
        <v>686</v>
      </c>
      <c r="E27" s="1123">
        <v>5</v>
      </c>
      <c r="F27" s="1124" t="s">
        <v>649</v>
      </c>
      <c r="G27" s="1131">
        <v>0</v>
      </c>
      <c r="H27" s="1132">
        <f t="shared" ref="H27:H33" si="4">E27-G27</f>
      </c>
      <c r="I27" s="1066"/>
    </row>
    <row customHeight="true" ht="37" r="28">
      <c r="A28" s="1101"/>
      <c r="B28" s="1072"/>
      <c r="C28" s="1086" t="s">
        <v>687</v>
      </c>
      <c r="D28" s="1087" t="s">
        <v>688</v>
      </c>
      <c r="E28" s="1088">
        <v>3</v>
      </c>
      <c r="F28" s="1089" t="s">
        <v>636</v>
      </c>
      <c r="G28" s="1089">
        <v>2</v>
      </c>
      <c r="H28" s="1133">
        <f t="shared" si="4"/>
      </c>
      <c r="I28" s="1134"/>
    </row>
    <row customHeight="true" ht="49" r="29">
      <c r="A29" s="1101"/>
      <c r="B29" s="1072"/>
      <c r="C29" s="1091" t="s">
        <v>689</v>
      </c>
      <c r="D29" s="1092" t="s">
        <v>690</v>
      </c>
      <c r="E29" s="1093">
        <v>7</v>
      </c>
      <c r="F29" s="1094" t="s">
        <v>646</v>
      </c>
      <c r="G29" s="1094">
        <v>7</v>
      </c>
      <c r="H29" s="1135">
        <f t="shared" si="4"/>
      </c>
      <c r="I29" s="1134" t="s">
        <v>650</v>
      </c>
    </row>
    <row customHeight="true" ht="32" r="30">
      <c r="A30" s="1101"/>
      <c r="B30" s="1072"/>
      <c r="C30" s="1082" t="s">
        <v>691</v>
      </c>
      <c r="D30" s="1083" t="s">
        <v>692</v>
      </c>
      <c r="E30" s="1059">
        <v>5</v>
      </c>
      <c r="F30" s="1084" t="s">
        <v>668</v>
      </c>
      <c r="G30" s="1136">
        <v>0</v>
      </c>
      <c r="H30" s="1137">
        <f t="shared" si="4"/>
      </c>
      <c r="I30" s="1138" t="s">
        <v>693</v>
      </c>
    </row>
    <row customHeight="true" ht="16" r="31">
      <c r="A31" s="1101"/>
      <c r="B31" s="1072"/>
      <c r="C31" s="1139" t="s">
        <v>694</v>
      </c>
      <c r="D31" s="1140" t="s">
        <v>695</v>
      </c>
      <c r="E31" s="1141">
        <v>2</v>
      </c>
      <c r="F31" s="1142" t="s">
        <v>662</v>
      </c>
      <c r="G31" s="1142">
        <v>2</v>
      </c>
      <c r="H31" s="1132">
        <f t="shared" si="4"/>
      </c>
    </row>
    <row customHeight="true" ht="16" r="32">
      <c r="A32" s="1101"/>
      <c r="B32" s="1072"/>
      <c r="C32" s="1143" t="s">
        <v>696</v>
      </c>
      <c r="D32" s="1144" t="s">
        <v>695</v>
      </c>
      <c r="E32" s="1145">
        <v>5</v>
      </c>
      <c r="F32" s="1146" t="s">
        <v>636</v>
      </c>
      <c r="G32" s="1146">
        <v>7</v>
      </c>
      <c r="H32" s="1147">
        <f t="shared" si="4"/>
      </c>
      <c r="I32" s="1134" t="s">
        <v>650</v>
      </c>
    </row>
    <row customHeight="true" ht="32" r="33">
      <c r="A33" s="1101"/>
      <c r="B33" s="1072"/>
      <c r="C33" s="1148" t="s">
        <v>697</v>
      </c>
      <c r="D33" s="1149" t="s">
        <v>692</v>
      </c>
      <c r="E33" s="1150">
        <v>5</v>
      </c>
      <c r="F33" s="1151" t="s">
        <v>646</v>
      </c>
      <c r="G33" s="1152">
        <v>1</v>
      </c>
      <c r="H33" s="1153">
        <f t="shared" si="4"/>
      </c>
      <c r="I33" s="1138" t="s">
        <v>693</v>
      </c>
      <c r="J33" s="1066"/>
    </row>
    <row customHeight="true" ht="16" r="34">
      <c r="A34" s="1101"/>
      <c r="B34" s="1072"/>
      <c r="C34" s="1115" t="s">
        <v>652</v>
      </c>
      <c r="D34" s="1115"/>
      <c r="E34" s="1116">
        <f>SUM(E27:E33)</f>
      </c>
      <c r="F34" s="1117"/>
      <c r="G34" s="1118"/>
      <c r="H34" s="1116">
        <f>SUM(H27:H33)</f>
      </c>
    </row>
    <row customHeight="true" ht="28" r="35">
      <c r="A35" s="1101"/>
      <c r="B35" s="1072" t="s">
        <v>653</v>
      </c>
      <c r="C35" s="1154" t="s">
        <v>698</v>
      </c>
      <c r="D35" s="1155" t="s">
        <v>699</v>
      </c>
      <c r="E35" s="1156">
        <v>5</v>
      </c>
      <c r="F35" s="1157" t="s">
        <v>662</v>
      </c>
      <c r="G35" s="1158">
        <v>0</v>
      </c>
      <c r="H35" s="1159">
        <f t="shared" ref="H35:H36" si="5">E35-G35</f>
      </c>
      <c r="J35" s="1100"/>
    </row>
    <row customHeight="true" ht="16" r="36">
      <c r="A36" s="1101"/>
      <c r="B36" s="1072"/>
      <c r="C36" s="1154" t="s">
        <v>700</v>
      </c>
      <c r="D36" s="1155" t="s">
        <v>701</v>
      </c>
      <c r="E36" s="1156">
        <v>3</v>
      </c>
      <c r="F36" s="1157" t="s">
        <v>636</v>
      </c>
      <c r="G36" s="1157">
        <v>3</v>
      </c>
      <c r="H36" s="1159">
        <f t="shared" si="5"/>
      </c>
      <c r="I36" s="1134"/>
      <c r="J36" s="1100"/>
    </row>
    <row customHeight="true" ht="16" r="37">
      <c r="A37" s="1101"/>
      <c r="B37" s="1072"/>
      <c r="C37" s="1115" t="s">
        <v>652</v>
      </c>
      <c r="D37" s="1115"/>
      <c r="E37" s="1116">
        <f>SUM(E35:E36)</f>
      </c>
      <c r="F37" s="1117"/>
      <c r="G37" s="1118"/>
      <c r="H37" s="1116">
        <f>SUM(H35)</f>
      </c>
      <c r="I37" s="1100"/>
    </row>
    <row customHeight="true" ht="16" r="38">
      <c r="A38" s="1067" t="s">
        <v>638</v>
      </c>
      <c r="B38" s="1067"/>
      <c r="C38" s="1067"/>
      <c r="D38" s="1067"/>
      <c r="E38" s="1068">
        <f>SUM(E34,E37)</f>
      </c>
      <c r="F38" s="1069"/>
      <c r="G38" s="1128"/>
      <c r="H38" s="1068">
        <f>SUM(H34,H37)</f>
      </c>
      <c r="I38" s="1100"/>
    </row>
    <row customHeight="true" ht="100" r="39">
      <c r="A39" s="1091" t="s">
        <v>702</v>
      </c>
      <c r="B39" s="1072" t="s">
        <v>703</v>
      </c>
      <c r="C39" s="1091" t="s">
        <v>704</v>
      </c>
      <c r="D39" s="1092" t="s">
        <v>705</v>
      </c>
      <c r="E39" s="1093">
        <v>10</v>
      </c>
      <c r="F39" s="1094"/>
      <c r="G39" s="1094"/>
      <c r="H39" s="1135">
        <f>E39-G39</f>
      </c>
      <c r="I39" s="1100"/>
      <c r="J39" s="1100"/>
    </row>
    <row customHeight="true" ht="17" r="40">
      <c r="A40" s="1067" t="s">
        <v>638</v>
      </c>
      <c r="B40" s="1067"/>
      <c r="C40" s="1067"/>
      <c r="D40" s="1067"/>
      <c r="E40" s="1068">
        <f>SUM(E39)</f>
      </c>
      <c r="F40" s="1069"/>
      <c r="G40" s="1128"/>
      <c r="H40" s="1068">
        <f>SUM(H39)</f>
      </c>
      <c r="I40" s="1100"/>
      <c r="J40" s="1100"/>
    </row>
    <row customHeight="true" ht="43" r="41">
      <c r="A41" s="1091" t="s">
        <v>706</v>
      </c>
      <c r="B41" s="1072" t="s">
        <v>707</v>
      </c>
      <c r="C41" s="1086" t="s">
        <v>708</v>
      </c>
      <c r="D41" s="1087" t="s">
        <v>709</v>
      </c>
      <c r="E41" s="1088">
        <v>3</v>
      </c>
      <c r="F41" s="1089" t="s">
        <v>646</v>
      </c>
      <c r="G41" s="1089"/>
      <c r="H41" s="1133">
        <f t="shared" ref="H41:H45" si="6">E41-G41</f>
      </c>
      <c r="I41" s="1100"/>
      <c r="J41" s="1100"/>
    </row>
    <row customHeight="true" ht="86" r="42">
      <c r="A42" s="1091"/>
      <c r="B42" s="1072"/>
      <c r="C42" s="1160" t="s">
        <v>710</v>
      </c>
      <c r="D42" s="1161" t="s">
        <v>711</v>
      </c>
      <c r="E42" s="1162">
        <v>3</v>
      </c>
      <c r="F42" s="1163" t="s">
        <v>646</v>
      </c>
      <c r="G42" s="1163"/>
      <c r="H42" s="1164">
        <f t="shared" si="6"/>
      </c>
      <c r="I42" s="1100"/>
      <c r="J42" s="1100"/>
    </row>
    <row customHeight="true" ht="48" r="43">
      <c r="A43" s="1091"/>
      <c r="B43" s="1072"/>
      <c r="C43" s="1071" t="s">
        <v>712</v>
      </c>
      <c r="D43" s="1165" t="s">
        <v>709</v>
      </c>
      <c r="E43" s="1074">
        <v>3</v>
      </c>
      <c r="F43" s="1075" t="s">
        <v>662</v>
      </c>
      <c r="G43" s="1075"/>
      <c r="H43" s="1166">
        <f t="shared" si="6"/>
      </c>
      <c r="I43" s="1100"/>
      <c r="J43" s="1100"/>
    </row>
    <row customHeight="true" ht="70" r="44">
      <c r="A44" s="1091"/>
      <c r="B44" s="1072"/>
      <c r="C44" s="1082" t="s">
        <v>669</v>
      </c>
      <c r="D44" s="1083" t="s">
        <v>713</v>
      </c>
      <c r="E44" s="1059">
        <v>3</v>
      </c>
      <c r="F44" s="1084" t="s">
        <v>662</v>
      </c>
      <c r="G44" s="1084"/>
      <c r="H44" s="1137">
        <f t="shared" si="6"/>
      </c>
      <c r="I44" s="1100"/>
      <c r="J44" s="1100"/>
    </row>
    <row customHeight="true" ht="61" r="45">
      <c r="A45" s="1091"/>
      <c r="B45" s="1072"/>
      <c r="C45" s="1101" t="s">
        <v>660</v>
      </c>
      <c r="D45" s="1167" t="s">
        <v>714</v>
      </c>
      <c r="E45" s="1103">
        <v>3</v>
      </c>
      <c r="F45" s="1104" t="s">
        <v>646</v>
      </c>
      <c r="G45" s="1104"/>
      <c r="H45" s="1153">
        <f t="shared" si="6"/>
      </c>
      <c r="I45" s="1100"/>
      <c r="J45" s="1100"/>
    </row>
    <row customHeight="true" ht="16" r="46">
      <c r="A46" s="1067" t="s">
        <v>638</v>
      </c>
      <c r="B46" s="1067"/>
      <c r="C46" s="1067"/>
      <c r="D46" s="1067"/>
      <c r="E46" s="1068">
        <f>SUM(E41:E45)</f>
      </c>
      <c r="F46" s="1069"/>
      <c r="G46" s="1128"/>
      <c r="H46" s="1068">
        <f>SUM(H41:H44)</f>
      </c>
      <c r="I46" s="1100"/>
      <c r="J46" s="1100"/>
    </row>
    <row customHeight="true" ht="16" r="47">
      <c r="A47" s="1068" t="s">
        <v>652</v>
      </c>
      <c r="B47" s="1068"/>
      <c r="C47" s="1068"/>
      <c r="D47" s="1068"/>
      <c r="E47" s="1068">
        <f>SUM(E3,E26,E38,E40,E46)</f>
      </c>
      <c r="F47" s="1069"/>
      <c r="G47" s="1168"/>
      <c r="H47" s="1068">
        <f>SUM(H3,H26,H38,H40,H46)</f>
      </c>
      <c r="I47" s="1100"/>
      <c r="J47" s="1100"/>
    </row>
    <row customHeight="true" ht="16" r="48">
      <c r="B48" s="1100"/>
      <c r="C48" s="1100"/>
      <c r="D48" s="1100"/>
      <c r="E48" s="1100"/>
      <c r="F48" s="1066"/>
      <c r="G48" s="1066"/>
      <c r="H48" s="1066"/>
      <c r="I48" s="1100"/>
      <c r="J48" s="1100"/>
    </row>
    <row customHeight="true" ht="16" r="49">
      <c r="B49" s="1100"/>
      <c r="C49" s="1100"/>
      <c r="D49" s="1100"/>
      <c r="E49" s="1100"/>
      <c r="F49" s="1066"/>
      <c r="G49" s="1066"/>
      <c r="H49" s="1066"/>
      <c r="I49" s="1100"/>
      <c r="J49" s="1100"/>
    </row>
    <row r="50">
      <c r="D50" s="1100"/>
      <c r="E50" s="1099" t="s">
        <v>715</v>
      </c>
      <c r="F50" s="1169" t="s">
        <v>626</v>
      </c>
      <c r="G50" s="1169" t="s">
        <v>716</v>
      </c>
      <c r="H50" s="1169" t="s">
        <v>629</v>
      </c>
      <c r="I50" s="1100"/>
    </row>
    <row r="51">
      <c r="D51" s="1100"/>
      <c r="E51" s="1170" t="s">
        <v>668</v>
      </c>
      <c r="F51" s="1171">
        <f>SUMIF(F2:F47,"Huyền",E2:E47)</f>
      </c>
      <c r="G51" s="1171">
        <f>SUMIF(F2:F47,"Huyền",G2:G47)</f>
      </c>
      <c r="H51" s="1171">
        <f t="shared" ref="H51:H59" si="7">F51-G51</f>
      </c>
      <c r="I51" s="1100"/>
    </row>
    <row r="52">
      <c r="D52" s="1066"/>
      <c r="E52" s="1169" t="s">
        <v>646</v>
      </c>
      <c r="F52" s="1099">
        <f>SUMIF(F2:F47,"Hoa",E2:E47)</f>
      </c>
      <c r="G52" s="1171">
        <f>SUMIF(F2:F47,"Hoa",G2:G47)</f>
      </c>
      <c r="H52" s="1099">
        <f t="shared" si="7"/>
      </c>
      <c r="I52" s="1100"/>
    </row>
    <row r="53">
      <c r="D53" s="1066"/>
      <c r="E53" s="1099" t="s">
        <v>636</v>
      </c>
      <c r="F53" s="1118">
        <f>SUMIF(F2:F47,"Thúy",E2:E47)</f>
      </c>
      <c r="G53" s="1171">
        <f>SUMIF(F2:F47,"Thúy",G2:G47)</f>
      </c>
      <c r="H53" s="1099">
        <f t="shared" si="7"/>
      </c>
      <c r="I53" s="1066" t="s">
        <v>717</v>
      </c>
    </row>
    <row r="54">
      <c r="D54" s="1100"/>
      <c r="E54" s="1172" t="s">
        <v>656</v>
      </c>
      <c r="F54" s="1173">
        <f>SUMIF(F2:F47,"Linh",E2:E47)</f>
      </c>
      <c r="G54" s="1174">
        <f>SUMIF(F2:F47,"Mai",G2:G47)</f>
      </c>
      <c r="H54" s="1099">
        <f t="shared" si="7"/>
      </c>
      <c r="I54" s="1100"/>
    </row>
    <row r="55">
      <c r="D55" s="1066"/>
      <c r="E55" s="1169" t="s">
        <v>662</v>
      </c>
      <c r="F55" s="1175">
        <f>SUMIF(F2:F47,"Ngân",E2:E47)</f>
      </c>
      <c r="G55" s="1174">
        <f>SUMIF(F2:F47,"Ngân",G2:G47)</f>
      </c>
      <c r="H55" s="1176">
        <f t="shared" si="7"/>
      </c>
      <c r="I55" s="1100"/>
    </row>
    <row customHeight="true" ht="16" r="56">
      <c r="C56" s="1066"/>
      <c r="D56" s="1100"/>
      <c r="E56" s="1169" t="s">
        <v>643</v>
      </c>
      <c r="F56" s="1175">
        <f>SUMIF(F2:F47,"Mai",E2:E47)</f>
      </c>
      <c r="G56" s="1174">
        <f>SUMIF(F2:F48,"Mai",G2:G48)</f>
      </c>
      <c r="H56" s="1176">
        <f t="shared" si="7"/>
      </c>
      <c r="I56" s="1100"/>
    </row>
    <row customHeight="true" ht="16" r="57">
      <c r="D57" s="1100"/>
      <c r="E57" s="1169" t="s">
        <v>649</v>
      </c>
      <c r="F57" s="1134">
        <f>SUMIF(F2:F47,"Bích",E2:E47)</f>
      </c>
      <c r="G57" s="1177">
        <v>10</v>
      </c>
      <c r="H57" s="1176">
        <f t="shared" si="7"/>
      </c>
    </row>
    <row customHeight="true" ht="16" r="58">
      <c r="D58" s="1100"/>
      <c r="E58" s="1169" t="s">
        <v>659</v>
      </c>
      <c r="F58" s="1099">
        <f>SUMIF(F3:F48,"Trang",E3:E48)</f>
      </c>
      <c r="G58" s="1099">
        <f>SUMIF(F3:F50,"Bích",G3:G50)</f>
      </c>
      <c r="H58" s="1176">
        <f t="shared" si="7"/>
      </c>
    </row>
    <row r="59">
      <c r="D59" s="1100"/>
      <c r="E59" s="1169" t="s">
        <v>652</v>
      </c>
      <c r="F59" s="1099">
        <f>SUM(F51:F58)</f>
      </c>
      <c r="G59" s="1099">
        <f>SUM(G51:G58)</f>
      </c>
      <c r="H59" s="1176">
        <f t="shared" si="7"/>
      </c>
    </row>
    <row r="60">
      <c r="D60" s="1066"/>
      <c r="E60" s="1100"/>
      <c r="F60" s="1100"/>
      <c r="G60" s="1100"/>
    </row>
  </sheetData>
  <mergeCells>
    <mergeCell ref="I10:I11"/>
    <mergeCell ref="C9:D9"/>
    <mergeCell ref="B4:B9"/>
    <mergeCell ref="A3:D3"/>
    <mergeCell ref="B10:B14"/>
    <mergeCell ref="C14:D14"/>
    <mergeCell ref="C10:C11"/>
    <mergeCell ref="C20:D20"/>
    <mergeCell ref="B15:B20"/>
    <mergeCell ref="C25:D25"/>
    <mergeCell ref="A4:A25"/>
    <mergeCell ref="B21:B25"/>
    <mergeCell ref="A26:D26"/>
    <mergeCell ref="B27:B34"/>
    <mergeCell ref="C34:D34"/>
    <mergeCell ref="C37:D37"/>
    <mergeCell ref="A27:A37"/>
    <mergeCell ref="B35:B37"/>
    <mergeCell ref="B41:B44"/>
    <mergeCell ref="A41:A44"/>
    <mergeCell ref="A38:D38"/>
    <mergeCell ref="A40:D40"/>
    <mergeCell ref="A46:D46"/>
    <mergeCell ref="A47:D47"/>
  </mergeCells>
  <picture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6" min="6" style="0" width="11"/>
    <col collapsed="false" customWidth="true" hidden="false" max="8" min="8" style="0" width="11"/>
    <col collapsed="false" customWidth="true" hidden="false" max="10" min="10" style="0" width="55"/>
    <col collapsed="false" customWidth="true" hidden="false" max="2" min="2" style="0" width="22"/>
    <col collapsed="false" customWidth="true" hidden="false" max="4" min="4" style="0" width="29"/>
    <col collapsed="false" customWidth="true" hidden="false" max="5" min="5" style="0" width="11"/>
    <col collapsed="false" customWidth="true" hidden="false" max="7" min="7" style="0" width="11"/>
    <col collapsed="false" customWidth="true" hidden="false" max="9" min="9" style="0" width="18"/>
    <col collapsed="false" customWidth="true" hidden="false" max="11" min="11" style="0" width="11"/>
    <col collapsed="false" customWidth="true" hidden="false" max="1" min="1" style="0" width="22"/>
    <col collapsed="false" customWidth="true" hidden="false" max="3" min="3" style="0" width="22"/>
  </cols>
  <sheetData>
    <row r="1">
      <c r="A1" s="1178" t="s">
        <v>718</v>
      </c>
      <c r="B1" s="1178" t="s">
        <v>719</v>
      </c>
      <c r="C1" s="1179" t="s">
        <v>720</v>
      </c>
      <c r="D1" s="1178" t="s">
        <v>721</v>
      </c>
      <c r="E1" s="1180" t="s">
        <v>722</v>
      </c>
      <c r="F1" s="1181" t="s">
        <v>723</v>
      </c>
      <c r="G1" s="1178" t="s">
        <v>724</v>
      </c>
      <c r="H1" s="1178" t="s">
        <v>725</v>
      </c>
      <c r="I1" s="1182" t="s">
        <v>726</v>
      </c>
      <c r="J1" s="1183" t="s">
        <v>727</v>
      </c>
    </row>
    <row customHeight="true" ht="20" r="2">
      <c r="A2" s="1184" t="s">
        <v>728</v>
      </c>
      <c r="B2" s="1185" t="s">
        <v>729</v>
      </c>
      <c r="C2" s="1186" t="s">
        <v>730</v>
      </c>
      <c r="D2" s="1187" t="s">
        <v>731</v>
      </c>
      <c r="E2" s="1188">
        <v>10</v>
      </c>
      <c r="F2" s="1189" t="s">
        <v>732</v>
      </c>
      <c r="G2" s="1189">
        <v>10</v>
      </c>
      <c r="H2" s="1190">
        <f t="shared" ref="H2:H4" si="0">E2-G2</f>
      </c>
      <c r="I2" s="1191" t="s">
        <v>733</v>
      </c>
    </row>
    <row customHeight="true" ht="20" r="3">
      <c r="A3" s="1184"/>
      <c r="B3" s="1185"/>
      <c r="C3" s="1192" t="s">
        <v>734</v>
      </c>
      <c r="D3" s="1193" t="s">
        <v>731</v>
      </c>
      <c r="E3" s="1194">
        <v>10</v>
      </c>
      <c r="F3" s="1195" t="s">
        <v>735</v>
      </c>
      <c r="G3" s="1195">
        <v>10</v>
      </c>
      <c r="H3" s="1196">
        <f t="shared" si="0"/>
      </c>
      <c r="I3" s="1191"/>
    </row>
    <row customHeight="true" ht="20" r="4">
      <c r="A4" s="1184"/>
      <c r="B4" s="1185"/>
      <c r="C4" s="1197" t="s">
        <v>736</v>
      </c>
      <c r="D4" s="1198" t="s">
        <v>731</v>
      </c>
      <c r="E4" s="1199">
        <v>10</v>
      </c>
      <c r="F4" s="1200" t="s">
        <v>737</v>
      </c>
      <c r="G4" s="1200">
        <v>5</v>
      </c>
      <c r="H4" s="1201">
        <f t="shared" si="0"/>
      </c>
      <c r="I4" s="1191"/>
    </row>
    <row customHeight="true" ht="16" r="5">
      <c r="A5" s="1202" t="s">
        <v>738</v>
      </c>
      <c r="B5" s="1202"/>
      <c r="C5" s="1202"/>
      <c r="D5" s="1202"/>
      <c r="E5" s="1203">
        <f>SUM(E2:E4)</f>
      </c>
      <c r="F5" s="1204"/>
      <c r="G5" s="1204"/>
      <c r="H5" s="1203">
        <f>SUM(H2:H4)</f>
      </c>
      <c r="I5" s="1191"/>
      <c r="K5" s="1205"/>
    </row>
    <row r="6">
      <c r="A6" s="1197" t="s">
        <v>739</v>
      </c>
      <c r="B6" s="1206" t="s">
        <v>740</v>
      </c>
      <c r="C6" s="1197" t="s">
        <v>741</v>
      </c>
      <c r="D6" s="1198" t="s">
        <v>742</v>
      </c>
      <c r="E6" s="1199">
        <v>15</v>
      </c>
      <c r="F6" s="1200" t="s">
        <v>735</v>
      </c>
      <c r="G6" s="1200">
        <v>14</v>
      </c>
      <c r="H6" s="1201">
        <f t="shared" ref="H6:H10" si="1">E6-G6</f>
      </c>
      <c r="I6" s="1191" t="s">
        <v>743</v>
      </c>
      <c r="K6" s="1205"/>
    </row>
    <row customHeight="true" ht="50" r="7">
      <c r="A7" s="1197"/>
      <c r="B7" s="1206"/>
      <c r="C7" s="1197" t="s">
        <v>744</v>
      </c>
      <c r="D7" s="1198" t="s">
        <v>745</v>
      </c>
      <c r="E7" s="1199">
        <v>10</v>
      </c>
      <c r="F7" s="1200" t="s">
        <v>746</v>
      </c>
      <c r="G7" s="1200">
        <v>10</v>
      </c>
      <c r="H7" s="1201">
        <f t="shared" si="1"/>
      </c>
      <c r="I7" s="1191" t="s">
        <v>743</v>
      </c>
      <c r="K7" s="1205"/>
    </row>
    <row customHeight="true" ht="50" r="8">
      <c r="A8" s="1197"/>
      <c r="B8" s="1206"/>
      <c r="C8" s="1197"/>
      <c r="D8" s="1198" t="s">
        <v>747</v>
      </c>
      <c r="E8" s="1199">
        <v>6</v>
      </c>
      <c r="F8" s="1200" t="s">
        <v>732</v>
      </c>
      <c r="G8" s="1200">
        <v>3</v>
      </c>
      <c r="H8" s="1201">
        <f t="shared" si="1"/>
      </c>
      <c r="I8" s="1191"/>
      <c r="K8" s="1205"/>
    </row>
    <row customHeight="true" ht="50" r="9">
      <c r="A9" s="1197"/>
      <c r="B9" s="1206"/>
      <c r="C9" s="1197"/>
      <c r="D9" s="1198" t="s">
        <v>748</v>
      </c>
      <c r="E9" s="1199">
        <v>2</v>
      </c>
      <c r="F9" s="1200" t="s">
        <v>749</v>
      </c>
      <c r="G9" s="1200">
        <v>2</v>
      </c>
      <c r="H9" s="1201">
        <f t="shared" si="1"/>
      </c>
      <c r="I9" s="1191"/>
      <c r="K9" s="1205"/>
    </row>
    <row customHeight="true" ht="50" r="10">
      <c r="A10" s="1197"/>
      <c r="B10" s="1206"/>
      <c r="C10" s="1197"/>
      <c r="D10" s="1198" t="s">
        <v>750</v>
      </c>
      <c r="E10" s="1199">
        <v>2</v>
      </c>
      <c r="F10" s="1200" t="s">
        <v>749</v>
      </c>
      <c r="G10" s="1200">
        <v>2</v>
      </c>
      <c r="H10" s="1201">
        <f t="shared" si="1"/>
      </c>
      <c r="I10" s="1191"/>
      <c r="K10" s="1205"/>
    </row>
    <row customHeight="true" ht="16" r="11">
      <c r="A11" s="1197"/>
      <c r="B11" s="1206"/>
      <c r="C11" s="1207" t="s">
        <v>751</v>
      </c>
      <c r="D11" s="1207"/>
      <c r="E11" s="1208">
        <f>SUM(E6:E10)</f>
      </c>
      <c r="F11" s="1209"/>
      <c r="G11" s="1210"/>
      <c r="H11" s="1208">
        <f>SUM(H6:H10)</f>
      </c>
      <c r="I11" s="1211"/>
    </row>
    <row customHeight="true" ht="54" r="12">
      <c r="A12" s="1197"/>
      <c r="B12" s="1206" t="s">
        <v>752</v>
      </c>
      <c r="C12" s="1212" t="s">
        <v>753</v>
      </c>
      <c r="D12" s="1213" t="s">
        <v>754</v>
      </c>
      <c r="E12" s="1214">
        <v>8</v>
      </c>
      <c r="F12" s="1215" t="s">
        <v>737</v>
      </c>
      <c r="G12" s="1215">
        <v>8</v>
      </c>
      <c r="H12" s="1216">
        <f t="shared" ref="H12:H16" si="2">E12-G12</f>
      </c>
      <c r="I12" s="1191" t="s">
        <v>755</v>
      </c>
    </row>
    <row customHeight="true" ht="24" r="13">
      <c r="A13" s="1197"/>
      <c r="B13" s="1206"/>
      <c r="C13" s="1217" t="s">
        <v>756</v>
      </c>
      <c r="D13" s="1218" t="s">
        <v>757</v>
      </c>
      <c r="E13" s="1219">
        <v>8</v>
      </c>
      <c r="F13" s="1220" t="s">
        <v>735</v>
      </c>
      <c r="G13" s="1220">
        <v>6</v>
      </c>
      <c r="H13" s="1221">
        <f t="shared" si="2"/>
      </c>
      <c r="I13" s="1191"/>
    </row>
    <row customHeight="true" ht="44" r="14">
      <c r="A14" s="1197"/>
      <c r="B14" s="1206"/>
      <c r="C14" s="1222" t="s">
        <v>758</v>
      </c>
      <c r="D14" s="1223" t="s">
        <v>759</v>
      </c>
      <c r="E14" s="1224">
        <v>7</v>
      </c>
      <c r="F14" s="1225" t="s">
        <v>746</v>
      </c>
      <c r="G14" s="1225">
        <v>2</v>
      </c>
      <c r="H14" s="1226">
        <f t="shared" si="2"/>
      </c>
      <c r="I14" s="1191"/>
    </row>
    <row customHeight="true" ht="24" r="15">
      <c r="A15" s="1197"/>
      <c r="B15" s="1206"/>
      <c r="C15" s="1227" t="s">
        <v>760</v>
      </c>
      <c r="D15" s="1228" t="s">
        <v>757</v>
      </c>
      <c r="E15" s="1229">
        <v>5</v>
      </c>
      <c r="F15" s="1230" t="s">
        <v>735</v>
      </c>
      <c r="G15" s="1230">
        <v>3</v>
      </c>
      <c r="H15" s="1231">
        <f t="shared" si="2"/>
      </c>
      <c r="I15" s="1191"/>
      <c r="J15" s="1191"/>
    </row>
    <row customHeight="true" ht="16" r="16">
      <c r="A16" s="1197"/>
      <c r="B16" s="1206"/>
      <c r="C16" s="1184" t="s">
        <v>761</v>
      </c>
      <c r="D16" s="1232" t="s">
        <v>757</v>
      </c>
      <c r="E16" s="1233">
        <v>8</v>
      </c>
      <c r="F16" s="1234" t="s">
        <v>735</v>
      </c>
      <c r="G16" s="1234">
        <v>7</v>
      </c>
      <c r="H16" s="1235">
        <f t="shared" si="2"/>
      </c>
      <c r="I16" s="1191" t="s">
        <v>762</v>
      </c>
    </row>
    <row customHeight="true" ht="16" r="17">
      <c r="A17" s="1197"/>
      <c r="B17" s="1206"/>
      <c r="C17" s="1207" t="s">
        <v>751</v>
      </c>
      <c r="D17" s="1207"/>
      <c r="E17" s="1208">
        <f>SUM(E12:E16)</f>
      </c>
      <c r="F17" s="1209"/>
      <c r="G17" s="1210"/>
      <c r="H17" s="1208">
        <f>SUM(H12:H16)</f>
      </c>
      <c r="I17" s="1211"/>
    </row>
    <row customHeight="true" ht="52" r="18">
      <c r="A18" s="1197"/>
      <c r="B18" s="1185" t="s">
        <v>763</v>
      </c>
      <c r="C18" s="1236" t="s">
        <v>764</v>
      </c>
      <c r="D18" s="1237" t="s">
        <v>765</v>
      </c>
      <c r="E18" s="1238">
        <v>10</v>
      </c>
      <c r="F18" s="1239" t="s">
        <v>737</v>
      </c>
      <c r="G18" s="1239">
        <v>2</v>
      </c>
      <c r="H18" s="1240">
        <f t="shared" ref="H18:H23" si="3">E18-G18</f>
      </c>
      <c r="J18" s="1211"/>
    </row>
    <row customHeight="true" ht="43" r="19">
      <c r="A19" s="1197"/>
      <c r="B19" s="1185"/>
      <c r="C19" s="1236" t="s">
        <v>766</v>
      </c>
      <c r="D19" s="1237" t="s">
        <v>767</v>
      </c>
      <c r="E19" s="1238">
        <v>7</v>
      </c>
      <c r="F19" s="1239" t="s">
        <v>746</v>
      </c>
      <c r="G19" s="1239">
        <v>4</v>
      </c>
      <c r="H19" s="1240">
        <f t="shared" si="3"/>
      </c>
      <c r="I19" s="1191"/>
      <c r="J19" s="1211"/>
    </row>
    <row customHeight="true" ht="26" r="20">
      <c r="A20" s="1197"/>
      <c r="B20" s="1185"/>
      <c r="C20" s="1236" t="s">
        <v>768</v>
      </c>
      <c r="D20" s="1237" t="s">
        <v>769</v>
      </c>
      <c r="E20" s="1238">
        <v>7</v>
      </c>
      <c r="F20" s="1239" t="s">
        <v>770</v>
      </c>
      <c r="G20" s="1239">
        <v>2</v>
      </c>
      <c r="H20" s="1240">
        <f t="shared" si="3"/>
      </c>
      <c r="I20" s="1211"/>
      <c r="J20" s="1191"/>
    </row>
    <row customHeight="true" ht="42" r="21">
      <c r="A21" s="1197"/>
      <c r="B21" s="1185"/>
      <c r="C21" s="1236" t="s">
        <v>771</v>
      </c>
      <c r="D21" s="1237" t="s">
        <v>767</v>
      </c>
      <c r="E21" s="1238">
        <v>10</v>
      </c>
      <c r="F21" s="1239" t="s">
        <v>772</v>
      </c>
      <c r="G21" s="1241">
        <v>6</v>
      </c>
      <c r="H21" s="1240">
        <f t="shared" si="3"/>
      </c>
      <c r="I21" s="1191"/>
      <c r="J21" s="1211"/>
    </row>
    <row customHeight="true" ht="40" r="22">
      <c r="A22" s="1197"/>
      <c r="B22" s="1185"/>
      <c r="C22" s="1236" t="s">
        <v>773</v>
      </c>
      <c r="D22" s="1237" t="s">
        <v>774</v>
      </c>
      <c r="E22" s="1238">
        <v>8</v>
      </c>
      <c r="F22" s="1239" t="s">
        <v>737</v>
      </c>
      <c r="G22" s="1239">
        <v>2</v>
      </c>
      <c r="H22" s="1240">
        <f t="shared" si="3"/>
      </c>
      <c r="I22" s="1191"/>
      <c r="J22" s="1211"/>
    </row>
    <row customHeight="true" ht="39" r="23">
      <c r="A23" s="1197"/>
      <c r="B23" s="1185"/>
      <c r="C23" s="1236" t="s">
        <v>775</v>
      </c>
      <c r="D23" s="1237" t="s">
        <v>776</v>
      </c>
      <c r="E23" s="1238">
        <v>7</v>
      </c>
      <c r="F23" s="1239"/>
      <c r="G23" s="1239"/>
      <c r="H23" s="1240">
        <f t="shared" si="3"/>
      </c>
      <c r="I23" s="1191" t="s">
        <v>777</v>
      </c>
      <c r="J23" s="1191" t="s">
        <v>778</v>
      </c>
    </row>
    <row customHeight="true" ht="15" r="24">
      <c r="A24" s="1197"/>
      <c r="B24" s="1185"/>
      <c r="C24" s="1242" t="s">
        <v>751</v>
      </c>
      <c r="D24" s="1242"/>
      <c r="E24" s="1243">
        <f>SUM(E18:E23)</f>
      </c>
      <c r="F24" s="1244"/>
      <c r="G24" s="1245"/>
      <c r="H24" s="1243">
        <f>SUM(H18:H23)</f>
      </c>
      <c r="I24" s="1211"/>
      <c r="J24" s="1211"/>
    </row>
    <row customHeight="true" ht="78" r="25">
      <c r="A25" s="1197"/>
      <c r="B25" s="1206" t="s">
        <v>779</v>
      </c>
      <c r="C25" s="1227" t="s">
        <v>780</v>
      </c>
      <c r="D25" s="1228" t="s">
        <v>781</v>
      </c>
      <c r="E25" s="1229">
        <v>7</v>
      </c>
      <c r="F25" s="1230" t="s">
        <v>772</v>
      </c>
      <c r="G25" s="1246">
        <v>6</v>
      </c>
      <c r="H25" s="1231">
        <f t="shared" ref="H25:H26" si="4">E25-G25</f>
      </c>
      <c r="I25" s="1211"/>
    </row>
    <row customHeight="true" ht="79" r="26">
      <c r="A26" s="1197"/>
      <c r="B26" s="1206"/>
      <c r="C26" s="1247" t="s">
        <v>782</v>
      </c>
      <c r="D26" s="1223" t="s">
        <v>781</v>
      </c>
      <c r="E26" s="1248">
        <v>8</v>
      </c>
      <c r="F26" s="1249" t="s">
        <v>770</v>
      </c>
      <c r="G26" s="1249">
        <v>4</v>
      </c>
      <c r="H26" s="1250">
        <f t="shared" si="4"/>
      </c>
      <c r="I26" s="1211"/>
    </row>
    <row customHeight="true" ht="13" r="27">
      <c r="A27" s="1197"/>
      <c r="B27" s="1206"/>
      <c r="C27" s="1242" t="s">
        <v>751</v>
      </c>
      <c r="D27" s="1242"/>
      <c r="E27" s="1243">
        <f>SUM(E25:E26)</f>
      </c>
      <c r="F27" s="1244"/>
      <c r="G27" s="1245"/>
      <c r="H27" s="1243">
        <f>SUM(H25:H26)</f>
      </c>
      <c r="I27" s="1211"/>
    </row>
    <row customHeight="true" ht="16" r="28">
      <c r="A28" s="1202" t="s">
        <v>738</v>
      </c>
      <c r="B28" s="1202"/>
      <c r="C28" s="1202"/>
      <c r="D28" s="1202"/>
      <c r="E28" s="1203">
        <f>SUM(E11,E17,E24,E27)</f>
      </c>
      <c r="F28" s="1204"/>
      <c r="G28" s="1251"/>
      <c r="H28" s="1203">
        <f>SUM(H11,H17,H24,H27)</f>
      </c>
      <c r="I28" s="1211"/>
    </row>
    <row customHeight="true" ht="28" r="29">
      <c r="A29" s="1212" t="s">
        <v>783</v>
      </c>
      <c r="B29" s="1206" t="s">
        <v>763</v>
      </c>
      <c r="C29" s="1217" t="s">
        <v>784</v>
      </c>
      <c r="D29" s="1252" t="s">
        <v>785</v>
      </c>
      <c r="E29" s="1219">
        <v>5</v>
      </c>
      <c r="F29" s="1220" t="s">
        <v>749</v>
      </c>
      <c r="G29" s="1220">
        <v>5</v>
      </c>
      <c r="H29" s="1253">
        <f t="shared" ref="H29:H32" si="5">E29-G29</f>
      </c>
      <c r="I29" s="1191"/>
    </row>
    <row customHeight="true" ht="32" r="30">
      <c r="A30" s="1212"/>
      <c r="B30" s="1206"/>
      <c r="C30" s="1184" t="s">
        <v>786</v>
      </c>
      <c r="D30" s="1232" t="s">
        <v>787</v>
      </c>
      <c r="E30" s="1233">
        <v>5</v>
      </c>
      <c r="F30" s="1234" t="s">
        <v>749</v>
      </c>
      <c r="G30" s="1234">
        <v>5</v>
      </c>
      <c r="H30" s="1254">
        <f t="shared" si="5"/>
      </c>
      <c r="I30" s="1255"/>
    </row>
    <row customHeight="true" ht="29" r="31">
      <c r="A31" s="1212"/>
      <c r="B31" s="1206"/>
      <c r="C31" s="1256" t="s">
        <v>788</v>
      </c>
      <c r="D31" s="1257" t="s">
        <v>787</v>
      </c>
      <c r="E31" s="1258">
        <v>5</v>
      </c>
      <c r="F31" s="1259" t="s">
        <v>749</v>
      </c>
      <c r="G31" s="1259">
        <v>4</v>
      </c>
      <c r="H31" s="1253">
        <f t="shared" si="5"/>
      </c>
    </row>
    <row customHeight="true" ht="32" r="32">
      <c r="A32" s="1212"/>
      <c r="B32" s="1206"/>
      <c r="C32" s="1260" t="s">
        <v>789</v>
      </c>
      <c r="D32" s="1261" t="s">
        <v>787</v>
      </c>
      <c r="E32" s="1262">
        <v>5</v>
      </c>
      <c r="F32" s="1263" t="s">
        <v>790</v>
      </c>
      <c r="G32" s="1263">
        <v>5</v>
      </c>
      <c r="H32" s="1264">
        <f t="shared" si="5"/>
      </c>
      <c r="I32" s="1255"/>
      <c r="J32" s="1191"/>
    </row>
    <row customHeight="true" ht="16" r="33">
      <c r="A33" s="1212"/>
      <c r="B33" s="1206"/>
      <c r="C33" s="1242" t="s">
        <v>751</v>
      </c>
      <c r="D33" s="1242"/>
      <c r="E33" s="1243">
        <f>SUM(E29:E32)</f>
      </c>
      <c r="F33" s="1244"/>
      <c r="G33" s="1245"/>
      <c r="H33" s="1243">
        <f>SUM(H29:H32)</f>
      </c>
    </row>
    <row customHeight="true" ht="16" r="34">
      <c r="A34" s="1202" t="s">
        <v>738</v>
      </c>
      <c r="B34" s="1202"/>
      <c r="C34" s="1202"/>
      <c r="D34" s="1202"/>
      <c r="E34" s="1203">
        <f>SUM(E33)</f>
      </c>
      <c r="F34" s="1204"/>
      <c r="G34" s="1251"/>
      <c r="H34" s="1203">
        <f>SUM(H33)</f>
      </c>
      <c r="I34" s="1211"/>
    </row>
    <row customHeight="true" ht="100" r="35">
      <c r="A35" s="1265" t="s">
        <v>791</v>
      </c>
      <c r="B35" s="1206" t="s">
        <v>792</v>
      </c>
      <c r="C35" s="1265" t="s">
        <v>793</v>
      </c>
      <c r="D35" s="1266" t="s">
        <v>794</v>
      </c>
      <c r="E35" s="1224">
        <v>5</v>
      </c>
      <c r="F35" s="1225"/>
      <c r="G35" s="1225"/>
      <c r="H35" s="1250">
        <f>E35-G35</f>
      </c>
      <c r="I35" s="1211"/>
      <c r="J35" s="1211"/>
    </row>
    <row customHeight="true" ht="17" r="36">
      <c r="A36" s="1202" t="s">
        <v>738</v>
      </c>
      <c r="B36" s="1202"/>
      <c r="C36" s="1202"/>
      <c r="D36" s="1202"/>
      <c r="E36" s="1203">
        <f>SUM(E35)</f>
      </c>
      <c r="F36" s="1204"/>
      <c r="G36" s="1251"/>
      <c r="H36" s="1203">
        <f>SUM(H35)</f>
      </c>
      <c r="I36" s="1211"/>
      <c r="J36" s="1211"/>
    </row>
    <row customHeight="true" ht="16" r="37">
      <c r="A37" s="1203" t="s">
        <v>751</v>
      </c>
      <c r="B37" s="1203"/>
      <c r="C37" s="1203"/>
      <c r="D37" s="1203"/>
      <c r="E37" s="1203">
        <f>SUM(E5,E28,E34,E36)</f>
      </c>
      <c r="F37" s="1204"/>
      <c r="G37" s="1267"/>
      <c r="H37" s="1203">
        <f>SUM(H5,H28,H34,H36)</f>
      </c>
      <c r="I37" s="1191"/>
      <c r="J37" s="1211"/>
    </row>
    <row customHeight="true" ht="16" r="38">
      <c r="B38" s="1211"/>
      <c r="C38" s="1211"/>
      <c r="D38" s="1211"/>
      <c r="E38" s="1211"/>
      <c r="F38" s="1191"/>
      <c r="G38" s="1191"/>
      <c r="H38" s="1191"/>
      <c r="I38" s="1211"/>
      <c r="J38" s="1211"/>
    </row>
    <row customHeight="true" ht="16" r="39">
      <c r="B39" s="1211"/>
      <c r="C39" s="1211"/>
      <c r="D39" s="1211"/>
      <c r="E39" s="1211"/>
      <c r="F39" s="1191"/>
      <c r="G39" s="1191"/>
      <c r="H39" s="1191"/>
      <c r="I39" s="1211"/>
      <c r="J39" s="1211"/>
    </row>
    <row r="40">
      <c r="D40" s="1211"/>
      <c r="E40" s="1210" t="s">
        <v>795</v>
      </c>
      <c r="F40" s="1268" t="s">
        <v>722</v>
      </c>
      <c r="G40" s="1268" t="s">
        <v>796</v>
      </c>
      <c r="H40" s="1268" t="s">
        <v>725</v>
      </c>
      <c r="I40" s="1211"/>
    </row>
    <row r="41">
      <c r="D41" s="1211"/>
      <c r="E41" s="1269" t="s">
        <v>749</v>
      </c>
      <c r="F41" s="1270">
        <f>SUMIF(F2:F37,"Huyền",E2:E37)</f>
      </c>
      <c r="G41" s="1270">
        <f>SUMIF(F2:F37,"Huyền",G2:G37)</f>
      </c>
      <c r="H41" s="1270">
        <f t="shared" ref="H41:H49" si="6">F41-G41</f>
      </c>
      <c r="I41" s="1211"/>
    </row>
    <row r="42">
      <c r="D42" s="1191"/>
      <c r="E42" s="1268" t="s">
        <v>737</v>
      </c>
      <c r="F42" s="1210">
        <f>SUMIF(F2:F37,"Hoa",E2:E37)</f>
      </c>
      <c r="G42" s="1270">
        <f>SUMIF(F2:F37,"Hoa",G2:G37)</f>
      </c>
      <c r="H42" s="1210">
        <f t="shared" si="6"/>
      </c>
      <c r="I42" s="1211"/>
    </row>
    <row r="43">
      <c r="D43" s="1191"/>
      <c r="E43" s="1210" t="s">
        <v>735</v>
      </c>
      <c r="F43" s="1245">
        <f>SUMIF(F2:F37,"Thúy",E2:E37)</f>
      </c>
      <c r="G43" s="1270">
        <f>SUMIF(F2:F37,"Thúy",G2:G37)</f>
      </c>
      <c r="H43" s="1210">
        <f t="shared" si="6"/>
      </c>
      <c r="I43" s="1191" t="s">
        <v>797</v>
      </c>
    </row>
    <row r="44">
      <c r="D44" s="1211"/>
      <c r="E44" s="1271" t="s">
        <v>732</v>
      </c>
      <c r="F44" s="1272">
        <f>SUMIF(F2:F37,"Linh",E2:E37)</f>
      </c>
      <c r="G44" s="1273">
        <f>SUMIF(F2:F37,"Mai",G2:G37)</f>
      </c>
      <c r="H44" s="1210">
        <f t="shared" si="6"/>
      </c>
      <c r="I44" s="1211"/>
    </row>
    <row r="45">
      <c r="D45" s="1191"/>
      <c r="E45" s="1268" t="s">
        <v>746</v>
      </c>
      <c r="F45" s="1274">
        <f>SUMIF(F2:F37,"Ngân",E2:E37)</f>
      </c>
      <c r="G45" s="1273">
        <f>SUMIF(F2:F37,"Ngân",G2:G37)</f>
      </c>
      <c r="H45" s="1275">
        <f t="shared" si="6"/>
      </c>
      <c r="I45" s="1211"/>
    </row>
    <row customHeight="true" ht="16" r="46">
      <c r="C46" s="1191"/>
      <c r="D46" s="1211"/>
      <c r="E46" s="1268" t="s">
        <v>770</v>
      </c>
      <c r="F46" s="1274">
        <f>SUMIF(F2:F37,"Mai",E2:E37)</f>
      </c>
      <c r="G46" s="1273">
        <f>SUMIF(F2:F38,"Mai",G2:G38)</f>
      </c>
      <c r="H46" s="1275">
        <f t="shared" si="6"/>
      </c>
      <c r="I46" s="1211"/>
    </row>
    <row customHeight="true" ht="16" r="47">
      <c r="D47" s="1211"/>
      <c r="E47" s="1268" t="s">
        <v>772</v>
      </c>
      <c r="F47" s="1276">
        <f>SUMIF(F2:F37,"Bích",E2:E37)</f>
      </c>
      <c r="G47" s="1273">
        <f>SUMIF(F3:F39,"Bích",G3:G39)</f>
      </c>
      <c r="H47" s="1275">
        <f t="shared" si="6"/>
      </c>
    </row>
    <row customHeight="true" ht="16" r="48">
      <c r="D48" s="1211"/>
      <c r="E48" s="1268" t="s">
        <v>790</v>
      </c>
      <c r="F48" s="1210">
        <f>SUMIF(F5:F38,"Trang",E5:E38)</f>
      </c>
      <c r="G48" s="1210">
        <f>SUMIF(F5:F40,"Trang",G5:G40)</f>
      </c>
      <c r="H48" s="1275">
        <f t="shared" si="6"/>
      </c>
    </row>
    <row r="49">
      <c r="D49" s="1211"/>
      <c r="E49" s="1268" t="s">
        <v>751</v>
      </c>
      <c r="F49" s="1210">
        <f>SUM(F41:F48)</f>
      </c>
      <c r="G49" s="1210">
        <f>SUM(G41:G48)</f>
      </c>
      <c r="H49" s="1275">
        <f t="shared" si="6"/>
      </c>
    </row>
    <row r="50">
      <c r="D50" s="1191"/>
      <c r="E50" s="1211"/>
      <c r="F50" s="1211"/>
      <c r="G50" s="1211"/>
    </row>
  </sheetData>
  <mergeCells>
    <mergeCell ref="B2:B4"/>
    <mergeCell ref="A5:D5"/>
    <mergeCell ref="A2:A4"/>
    <mergeCell ref="B25:B26"/>
    <mergeCell ref="B18:B23"/>
    <mergeCell ref="B29:B33"/>
    <mergeCell ref="A29:A33"/>
    <mergeCell ref="A6:A27"/>
    <mergeCell ref="B12:B16"/>
    <mergeCell ref="C17:D17"/>
    <mergeCell ref="C11:D11"/>
    <mergeCell ref="C24:D24"/>
    <mergeCell ref="A37:D37"/>
    <mergeCell ref="A36:D36"/>
    <mergeCell ref="A34:D34"/>
    <mergeCell ref="C33:D33"/>
    <mergeCell ref="A28:D28"/>
    <mergeCell ref="C27:D27"/>
    <mergeCell ref="C7:C10"/>
    <mergeCell ref="B6:B10"/>
  </mergeCells>
  <picture r:id="rId1"/>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2" min="2" style="0" width="22"/>
    <col collapsed="false" customWidth="true" hidden="false" max="6" min="6" style="0" width="11"/>
    <col collapsed="false" customWidth="true" hidden="false" max="10" min="10" style="0" width="15"/>
    <col collapsed="false" customWidth="true" hidden="false" max="14" min="14" style="0" width="15"/>
    <col collapsed="false" customWidth="true" hidden="false" max="1" min="1" style="0" width="22"/>
    <col collapsed="false" customWidth="true" hidden="false" max="5" min="5" style="0" width="11"/>
    <col collapsed="false" customWidth="true" hidden="false" max="9" min="9" style="0" width="18"/>
    <col collapsed="false" customWidth="true" hidden="false" max="13" min="13" style="0" width="15"/>
    <col collapsed="false" customWidth="true" hidden="false" max="4" min="4" style="0" width="29"/>
    <col collapsed="false" customWidth="true" hidden="false" max="8" min="8" style="0" width="11"/>
    <col collapsed="false" customWidth="true" hidden="false" max="12" min="12" style="0" width="15"/>
    <col collapsed="false" customWidth="true" hidden="false" max="3" min="3" style="0" width="22"/>
    <col collapsed="false" customWidth="true" hidden="false" max="7" min="7" style="0" width="11"/>
    <col collapsed="false" customWidth="true" hidden="false" max="11" min="11" style="0" width="15"/>
    <col collapsed="false" customWidth="true" hidden="false" max="15" min="15" style="0" width="15"/>
  </cols>
  <sheetData>
    <row r="1">
      <c r="A1" s="1277" t="s">
        <v>798</v>
      </c>
      <c r="B1" s="1277" t="s">
        <v>799</v>
      </c>
      <c r="C1" s="1278" t="s">
        <v>800</v>
      </c>
      <c r="D1" s="1277" t="s">
        <v>801</v>
      </c>
      <c r="E1" s="1279" t="s">
        <v>802</v>
      </c>
      <c r="F1" s="1280" t="s">
        <v>803</v>
      </c>
      <c r="G1" s="1277" t="s">
        <v>804</v>
      </c>
      <c r="H1" s="1277" t="s">
        <v>805</v>
      </c>
      <c r="I1" s="1281" t="s">
        <v>806</v>
      </c>
      <c r="J1" s="1282"/>
    </row>
    <row customHeight="true" ht="20" r="2">
      <c r="A2" s="1283" t="s">
        <v>807</v>
      </c>
      <c r="B2" s="1284" t="s">
        <v>808</v>
      </c>
      <c r="C2" s="1285" t="s">
        <v>809</v>
      </c>
      <c r="D2" s="1286" t="s">
        <v>810</v>
      </c>
      <c r="E2" s="1287">
        <v>10</v>
      </c>
      <c r="F2" s="1288" t="s">
        <v>811</v>
      </c>
      <c r="G2" s="1288">
        <v>10</v>
      </c>
      <c r="H2" s="1289">
        <f t="shared" ref="H2:H4" si="1">E2-G2</f>
      </c>
      <c r="I2" s="1290" t="s">
        <v>812</v>
      </c>
    </row>
    <row customHeight="true" ht="20" r="3">
      <c r="A3" s="1283"/>
      <c r="B3" s="1284"/>
      <c r="C3" s="1291" t="s">
        <v>813</v>
      </c>
      <c r="D3" s="1292" t="s">
        <v>810</v>
      </c>
      <c r="E3" s="1293">
        <v>10</v>
      </c>
      <c r="F3" s="1294" t="s">
        <v>814</v>
      </c>
      <c r="G3" s="1294">
        <v>2</v>
      </c>
      <c r="H3" s="1295">
        <f t="shared" si="1"/>
      </c>
      <c r="I3" s="1290"/>
    </row>
    <row customHeight="true" ht="20" r="4">
      <c r="A4" s="1283"/>
      <c r="B4" s="1284"/>
      <c r="C4" s="1296" t="s">
        <v>815</v>
      </c>
      <c r="D4" s="1297" t="s">
        <v>810</v>
      </c>
      <c r="E4" s="1298">
        <v>10</v>
      </c>
      <c r="F4" s="1299" t="s">
        <v>816</v>
      </c>
      <c r="G4" s="1299"/>
      <c r="H4" s="1300">
        <f t="shared" si="1"/>
      </c>
      <c r="I4" s="1290"/>
    </row>
    <row customHeight="true" ht="16" r="5">
      <c r="A5" s="1301" t="s">
        <v>817</v>
      </c>
      <c r="B5" s="1301"/>
      <c r="C5" s="1301"/>
      <c r="D5" s="1301"/>
      <c r="E5" s="1302">
        <f>SUM(E2:E4)</f>
      </c>
      <c r="F5" s="1303"/>
      <c r="G5" s="1303"/>
      <c r="H5" s="1302">
        <f>SUM(H2:H4)</f>
      </c>
      <c r="I5" s="1290"/>
      <c r="K5" s="1304"/>
    </row>
    <row r="6">
      <c r="A6" s="1296" t="s">
        <v>818</v>
      </c>
      <c r="B6" s="1305" t="s">
        <v>819</v>
      </c>
      <c r="C6" s="1296" t="s">
        <v>820</v>
      </c>
      <c r="D6" s="1297" t="s">
        <v>821</v>
      </c>
      <c r="E6" s="1298">
        <v>15</v>
      </c>
      <c r="F6" s="1299" t="s">
        <v>822</v>
      </c>
      <c r="G6" s="1299">
        <v>15</v>
      </c>
      <c r="H6" s="1300">
        <f t="shared" ref="H6:H15" si="2">E6-G6</f>
      </c>
      <c r="I6" s="1306" t="s">
        <v>823</v>
      </c>
      <c r="K6" s="1304"/>
    </row>
    <row customHeight="true" ht="61" r="7">
      <c r="A7" s="1296"/>
      <c r="B7" s="1305"/>
      <c r="C7" s="1296"/>
      <c r="D7" s="1297" t="s">
        <v>824</v>
      </c>
      <c r="E7" s="1298">
        <v>2</v>
      </c>
      <c r="F7" s="1299" t="s">
        <v>814</v>
      </c>
      <c r="G7" s="1299">
        <v>2</v>
      </c>
      <c r="H7" s="1300">
        <f t="shared" si="2"/>
      </c>
      <c r="I7" s="1306"/>
      <c r="K7" s="1304"/>
    </row>
    <row customHeight="true" ht="61" r="8">
      <c r="A8" s="1296"/>
      <c r="B8" s="1305"/>
      <c r="C8" s="1296"/>
      <c r="D8" s="1297" t="s">
        <v>825</v>
      </c>
      <c r="E8" s="1298">
        <v>3</v>
      </c>
      <c r="F8" s="1299" t="s">
        <v>826</v>
      </c>
      <c r="G8" s="1299">
        <v>3</v>
      </c>
      <c r="H8" s="1300">
        <f t="shared" si="2"/>
      </c>
      <c r="I8" s="1306"/>
      <c r="K8" s="1304"/>
    </row>
    <row customHeight="true" ht="50" r="9">
      <c r="A9" s="1296"/>
      <c r="B9" s="1305"/>
      <c r="C9" s="1296" t="s">
        <v>827</v>
      </c>
      <c r="D9" s="1297" t="s">
        <v>828</v>
      </c>
      <c r="E9" s="1298">
        <v>10</v>
      </c>
      <c r="F9" s="1299" t="s">
        <v>816</v>
      </c>
      <c r="G9" s="1299">
        <v>10</v>
      </c>
      <c r="H9" s="1300">
        <f t="shared" si="2"/>
      </c>
      <c r="I9" s="1306" t="s">
        <v>823</v>
      </c>
      <c r="K9" s="1304"/>
    </row>
    <row customHeight="true" ht="50" r="10">
      <c r="A10" s="1296"/>
      <c r="B10" s="1305"/>
      <c r="C10" s="1296"/>
      <c r="D10" s="1297" t="s">
        <v>829</v>
      </c>
      <c r="E10" s="1298">
        <v>3</v>
      </c>
      <c r="F10" s="1299" t="s">
        <v>811</v>
      </c>
      <c r="G10" s="1299">
        <v>3</v>
      </c>
      <c r="H10" s="1300">
        <f t="shared" si="2"/>
      </c>
      <c r="I10" s="1306"/>
      <c r="K10" s="1304"/>
    </row>
    <row customHeight="true" ht="50" r="11">
      <c r="A11" s="1296"/>
      <c r="B11" s="1305"/>
      <c r="C11" s="1296"/>
      <c r="D11" s="1297" t="s">
        <v>830</v>
      </c>
      <c r="E11" s="1298">
        <v>3</v>
      </c>
      <c r="F11" s="1299" t="s">
        <v>816</v>
      </c>
      <c r="G11" s="1299">
        <v>4</v>
      </c>
      <c r="H11" s="1300">
        <f t="shared" si="2"/>
      </c>
      <c r="I11" s="1306"/>
      <c r="K11" s="1304"/>
    </row>
    <row customHeight="true" ht="50" r="12">
      <c r="A12" s="1296"/>
      <c r="B12" s="1305"/>
      <c r="C12" s="1296"/>
      <c r="D12" s="1297" t="s">
        <v>831</v>
      </c>
      <c r="E12" s="1298">
        <v>3</v>
      </c>
      <c r="F12" s="1299" t="s">
        <v>816</v>
      </c>
      <c r="G12" s="1299">
        <v>3</v>
      </c>
      <c r="H12" s="1300">
        <f t="shared" si="2"/>
      </c>
      <c r="I12" s="1306"/>
      <c r="K12" s="1304"/>
    </row>
    <row customHeight="true" ht="50" r="13">
      <c r="A13" s="1296"/>
      <c r="B13" s="1305"/>
      <c r="C13" s="1296"/>
      <c r="D13" s="1297" t="s">
        <v>832</v>
      </c>
      <c r="E13" s="1298">
        <v>3</v>
      </c>
      <c r="F13" s="1299" t="s">
        <v>822</v>
      </c>
      <c r="G13" s="1299">
        <v>3</v>
      </c>
      <c r="H13" s="1300">
        <f t="shared" si="2"/>
      </c>
      <c r="I13" s="1306"/>
      <c r="K13" s="1304"/>
    </row>
    <row customHeight="true" ht="50" r="14">
      <c r="A14" s="1296"/>
      <c r="B14" s="1305"/>
      <c r="C14" s="1296"/>
      <c r="D14" s="1297" t="s">
        <v>833</v>
      </c>
      <c r="E14" s="1298">
        <v>3</v>
      </c>
      <c r="F14" s="1299" t="s">
        <v>814</v>
      </c>
      <c r="G14" s="1299">
        <v>3</v>
      </c>
      <c r="H14" s="1300">
        <f t="shared" si="2"/>
      </c>
      <c r="I14" s="1306"/>
      <c r="K14" s="1304"/>
    </row>
    <row customHeight="true" ht="50" r="15">
      <c r="A15" s="1296"/>
      <c r="B15" s="1305"/>
      <c r="C15" s="1296" t="s">
        <v>834</v>
      </c>
      <c r="D15" s="1297" t="s">
        <v>835</v>
      </c>
      <c r="E15" s="1298">
        <v>10</v>
      </c>
      <c r="F15" s="1299" t="s">
        <v>816</v>
      </c>
      <c r="G15" s="1299">
        <v>6</v>
      </c>
      <c r="H15" s="1300">
        <f t="shared" si="2"/>
      </c>
      <c r="I15" s="1290"/>
      <c r="K15" s="1304"/>
    </row>
    <row customHeight="true" ht="16" r="16">
      <c r="A16" s="1296"/>
      <c r="B16" s="1305"/>
      <c r="C16" s="1307" t="s">
        <v>836</v>
      </c>
      <c r="D16" s="1307"/>
      <c r="E16" s="1308">
        <f>SUM(E6:E15)</f>
      </c>
      <c r="F16" s="1309"/>
      <c r="G16" s="1310"/>
      <c r="H16" s="1308">
        <f>SUM(H6:H15)</f>
      </c>
      <c r="I16" s="1311"/>
    </row>
    <row customHeight="true" ht="54" r="17">
      <c r="A17" s="1296"/>
      <c r="B17" s="1305" t="s">
        <v>837</v>
      </c>
      <c r="C17" s="1312" t="s">
        <v>838</v>
      </c>
      <c r="D17" s="1313" t="s">
        <v>839</v>
      </c>
      <c r="E17" s="1314">
        <v>5</v>
      </c>
      <c r="F17" s="1315" t="s">
        <v>840</v>
      </c>
      <c r="G17" s="1315">
        <v>5</v>
      </c>
      <c r="H17" s="1316">
        <f t="shared" ref="H17:H20" si="3">E17-G17</f>
      </c>
      <c r="I17" s="1290" t="s">
        <v>841</v>
      </c>
    </row>
    <row customHeight="true" ht="54" r="18">
      <c r="A18" s="1296"/>
      <c r="B18" s="1305"/>
      <c r="C18" s="1317" t="s">
        <v>842</v>
      </c>
      <c r="D18" s="1318" t="s">
        <v>843</v>
      </c>
      <c r="E18" s="1319">
        <v>8</v>
      </c>
      <c r="F18" s="1320" t="s">
        <v>811</v>
      </c>
      <c r="G18" s="1320">
        <v>2</v>
      </c>
      <c r="H18" s="1321">
        <f t="shared" si="3"/>
      </c>
      <c r="I18" s="1290"/>
    </row>
    <row customHeight="true" ht="44" r="19">
      <c r="A19" s="1296"/>
      <c r="B19" s="1305"/>
      <c r="C19" s="1322" t="s">
        <v>844</v>
      </c>
      <c r="D19" s="1323" t="s">
        <v>843</v>
      </c>
      <c r="E19" s="1324">
        <v>8</v>
      </c>
      <c r="F19" s="1325" t="s">
        <v>822</v>
      </c>
      <c r="G19" s="1325">
        <v>7</v>
      </c>
      <c r="H19" s="1326">
        <f t="shared" si="3"/>
      </c>
      <c r="I19" s="1290"/>
      <c r="J19" s="1290"/>
    </row>
    <row customHeight="true" ht="58" r="20">
      <c r="A20" s="1296"/>
      <c r="B20" s="1305"/>
      <c r="C20" s="1283" t="s">
        <v>845</v>
      </c>
      <c r="D20" s="1327" t="s">
        <v>846</v>
      </c>
      <c r="E20" s="1328">
        <v>8</v>
      </c>
      <c r="F20" s="1329" t="s">
        <v>826</v>
      </c>
      <c r="G20" s="1329">
        <v>8</v>
      </c>
      <c r="H20" s="1330">
        <f t="shared" si="3"/>
      </c>
      <c r="I20" s="1290"/>
    </row>
    <row customHeight="true" ht="16" r="21">
      <c r="A21" s="1296"/>
      <c r="B21" s="1305"/>
      <c r="C21" s="1307" t="s">
        <v>836</v>
      </c>
      <c r="D21" s="1307"/>
      <c r="E21" s="1308">
        <f>SUM(E17:E20)</f>
      </c>
      <c r="F21" s="1309"/>
      <c r="G21" s="1310"/>
      <c r="H21" s="1308">
        <f>SUM(H17:H20)</f>
      </c>
      <c r="I21" s="1311"/>
    </row>
    <row customHeight="true" ht="52" r="22">
      <c r="A22" s="1296"/>
      <c r="B22" s="1284" t="s">
        <v>847</v>
      </c>
      <c r="C22" s="1331" t="s">
        <v>848</v>
      </c>
      <c r="D22" s="1332" t="s">
        <v>849</v>
      </c>
      <c r="E22" s="1333">
        <v>5</v>
      </c>
      <c r="F22" s="1334" t="s">
        <v>822</v>
      </c>
      <c r="G22" s="1334"/>
      <c r="H22" s="1335">
        <f t="shared" ref="H22:H30" si="4">E22-G22</f>
      </c>
      <c r="J22" s="1311"/>
    </row>
    <row customHeight="true" ht="43" r="23">
      <c r="A23" s="1296"/>
      <c r="B23" s="1284"/>
      <c r="C23" s="1331" t="s">
        <v>850</v>
      </c>
      <c r="D23" s="1332" t="s">
        <v>851</v>
      </c>
      <c r="E23" s="1333">
        <v>5</v>
      </c>
      <c r="F23" s="1334" t="s">
        <v>826</v>
      </c>
      <c r="G23" s="1334">
        <v>1</v>
      </c>
      <c r="H23" s="1335">
        <f t="shared" si="4"/>
      </c>
      <c r="I23" s="1290"/>
      <c r="J23" s="1311"/>
    </row>
    <row customHeight="true" ht="44" r="24">
      <c r="A24" s="1296"/>
      <c r="B24" s="1284"/>
      <c r="C24" s="1331" t="s">
        <v>852</v>
      </c>
      <c r="D24" s="1332" t="s">
        <v>851</v>
      </c>
      <c r="E24" s="1333">
        <v>5</v>
      </c>
      <c r="F24" s="1334" t="s">
        <v>816</v>
      </c>
      <c r="G24" s="1334">
        <v>3</v>
      </c>
      <c r="H24" s="1335">
        <f t="shared" si="4"/>
      </c>
      <c r="I24" s="1311"/>
      <c r="J24" s="1290"/>
    </row>
    <row customHeight="true" ht="42" r="25">
      <c r="A25" s="1296"/>
      <c r="B25" s="1284"/>
      <c r="C25" s="1331" t="s">
        <v>853</v>
      </c>
      <c r="D25" s="1332" t="s">
        <v>854</v>
      </c>
      <c r="E25" s="1333">
        <v>5</v>
      </c>
      <c r="F25" s="1334" t="s">
        <v>811</v>
      </c>
      <c r="G25" s="1334">
        <v>5</v>
      </c>
      <c r="H25" s="1335">
        <f t="shared" si="4"/>
      </c>
      <c r="I25" s="1290"/>
      <c r="J25" s="1311"/>
    </row>
    <row customHeight="true" ht="40" r="26">
      <c r="A26" s="1296"/>
      <c r="B26" s="1284"/>
      <c r="C26" s="1331" t="s">
        <v>855</v>
      </c>
      <c r="D26" s="1332" t="s">
        <v>856</v>
      </c>
      <c r="E26" s="1333">
        <v>5</v>
      </c>
      <c r="F26" s="1334" t="s">
        <v>822</v>
      </c>
      <c r="G26" s="1334"/>
      <c r="H26" s="1335">
        <f t="shared" si="4"/>
      </c>
      <c r="I26" s="1290"/>
      <c r="J26" s="1311"/>
    </row>
    <row customHeight="true" ht="39" r="27">
      <c r="A27" s="1296"/>
      <c r="B27" s="1284"/>
      <c r="C27" s="1331" t="s">
        <v>857</v>
      </c>
      <c r="D27" s="1332" t="s">
        <v>858</v>
      </c>
      <c r="E27" s="1333">
        <v>5</v>
      </c>
      <c r="F27" s="1334" t="s">
        <v>826</v>
      </c>
      <c r="G27" s="1334">
        <v>5</v>
      </c>
      <c r="H27" s="1335">
        <f t="shared" si="4"/>
      </c>
      <c r="I27" s="1290"/>
      <c r="J27" s="1290" t="s">
        <v>859</v>
      </c>
    </row>
    <row customHeight="true" ht="39" r="28">
      <c r="A28" s="1296"/>
      <c r="B28" s="1284"/>
      <c r="C28" s="1331" t="s">
        <v>860</v>
      </c>
      <c r="D28" s="1332" t="s">
        <v>861</v>
      </c>
      <c r="E28" s="1333">
        <v>10</v>
      </c>
      <c r="F28" s="1334" t="s">
        <v>826</v>
      </c>
      <c r="G28" s="1334">
        <v>10</v>
      </c>
      <c r="H28" s="1335">
        <f t="shared" si="4"/>
      </c>
      <c r="I28" s="1290"/>
      <c r="J28" s="1290"/>
    </row>
    <row customHeight="true" ht="39" r="29">
      <c r="A29" s="1296"/>
      <c r="B29" s="1284"/>
      <c r="C29" s="1331" t="s">
        <v>862</v>
      </c>
      <c r="D29" s="1332" t="s">
        <v>863</v>
      </c>
      <c r="E29" s="1333">
        <v>5</v>
      </c>
      <c r="F29" s="1334" t="s">
        <v>840</v>
      </c>
      <c r="G29" s="1336">
        <v>5</v>
      </c>
      <c r="H29" s="1335">
        <f t="shared" si="4"/>
      </c>
      <c r="I29" s="1290"/>
      <c r="J29" s="1290"/>
    </row>
    <row customHeight="true" ht="39" r="30">
      <c r="A30" s="1296"/>
      <c r="B30" s="1284"/>
      <c r="C30" s="1331"/>
      <c r="D30" s="1332" t="s">
        <v>864</v>
      </c>
      <c r="E30" s="1333">
        <v>3</v>
      </c>
      <c r="F30" s="1334" t="s">
        <v>840</v>
      </c>
      <c r="G30" s="1336">
        <v>3</v>
      </c>
      <c r="H30" s="1335">
        <f t="shared" si="4"/>
      </c>
      <c r="I30" s="1290"/>
      <c r="J30" s="1290"/>
    </row>
    <row customHeight="true" ht="15" r="31">
      <c r="A31" s="1296"/>
      <c r="B31" s="1284"/>
      <c r="C31" s="1337" t="s">
        <v>836</v>
      </c>
      <c r="D31" s="1337"/>
      <c r="E31" s="1338">
        <f>SUM(E22:E30)</f>
      </c>
      <c r="F31" s="1339"/>
      <c r="G31" s="1340"/>
      <c r="H31" s="1338">
        <f>SUM(H22:H30)</f>
      </c>
      <c r="I31" s="1311"/>
      <c r="J31" s="1311"/>
    </row>
    <row customHeight="true" ht="78" r="32">
      <c r="A32" s="1296"/>
      <c r="B32" s="1305" t="s">
        <v>865</v>
      </c>
      <c r="C32" s="1322" t="s">
        <v>866</v>
      </c>
      <c r="D32" s="1323" t="s">
        <v>867</v>
      </c>
      <c r="E32" s="1324">
        <v>7</v>
      </c>
      <c r="F32" s="1325" t="s">
        <v>811</v>
      </c>
      <c r="G32" s="1325"/>
      <c r="H32" s="1326">
        <f t="shared" ref="H32:H34" si="5">E32-G32</f>
      </c>
      <c r="I32" s="1311"/>
    </row>
    <row customHeight="true" ht="79" r="33">
      <c r="A33" s="1296"/>
      <c r="B33" s="1305"/>
      <c r="C33" s="1322"/>
      <c r="D33" s="1323" t="s">
        <v>868</v>
      </c>
      <c r="E33" s="1341">
        <v>5</v>
      </c>
      <c r="F33" s="1342" t="s">
        <v>826</v>
      </c>
      <c r="G33" s="1342">
        <v>5</v>
      </c>
      <c r="H33" s="1343">
        <f t="shared" si="5"/>
      </c>
      <c r="I33" s="1311"/>
    </row>
    <row customHeight="true" ht="79" r="34">
      <c r="A34" s="1296"/>
      <c r="B34" s="1305"/>
      <c r="C34" s="1322"/>
      <c r="D34" s="1323" t="s">
        <v>869</v>
      </c>
      <c r="E34" s="1341">
        <v>3</v>
      </c>
      <c r="F34" s="1342" t="s">
        <v>840</v>
      </c>
      <c r="G34" s="1342">
        <v>1</v>
      </c>
      <c r="H34" s="1343">
        <f t="shared" si="5"/>
      </c>
      <c r="I34" s="1311"/>
    </row>
    <row customHeight="true" ht="13" r="35">
      <c r="A35" s="1296"/>
      <c r="B35" s="1305"/>
      <c r="C35" s="1337" t="s">
        <v>836</v>
      </c>
      <c r="D35" s="1337"/>
      <c r="E35" s="1338">
        <f>SUM(E32:E34)</f>
      </c>
      <c r="F35" s="1339"/>
      <c r="G35" s="1340"/>
      <c r="H35" s="1338">
        <f>SUM(H32:H34)</f>
      </c>
      <c r="I35" s="1311"/>
    </row>
    <row customHeight="true" ht="16" r="36">
      <c r="A36" s="1301" t="s">
        <v>817</v>
      </c>
      <c r="B36" s="1301"/>
      <c r="C36" s="1301"/>
      <c r="D36" s="1301"/>
      <c r="E36" s="1302">
        <f>SUM(E16,E21,E31,E35)</f>
      </c>
      <c r="F36" s="1303"/>
      <c r="G36" s="1344"/>
      <c r="H36" s="1302">
        <f>SUM(H16,H21,H31,H35)</f>
      </c>
      <c r="I36" s="1311"/>
    </row>
    <row customHeight="true" hidden="true" ht="28" r="37">
      <c r="A37" s="1312"/>
      <c r="B37" s="1305"/>
      <c r="C37" s="1317"/>
      <c r="D37" s="1345"/>
      <c r="E37" s="1319"/>
      <c r="F37" s="1320"/>
      <c r="G37" s="1320"/>
      <c r="H37" s="1346">
        <f t="shared" ref="H37:H40" si="6">E37-G37</f>
      </c>
      <c r="I37" s="1290"/>
    </row>
    <row customHeight="true" hidden="true" ht="32" r="38">
      <c r="A38" s="1312"/>
      <c r="B38" s="1305"/>
      <c r="C38" s="1283"/>
      <c r="D38" s="1327"/>
      <c r="E38" s="1328"/>
      <c r="F38" s="1329"/>
      <c r="G38" s="1329"/>
      <c r="H38" s="1347">
        <f t="shared" si="6"/>
      </c>
      <c r="I38" s="1348"/>
    </row>
    <row customHeight="true" hidden="true" ht="29" r="39">
      <c r="A39" s="1312"/>
      <c r="B39" s="1305"/>
      <c r="C39" s="1349"/>
      <c r="D39" s="1350"/>
      <c r="E39" s="1351"/>
      <c r="F39" s="1352"/>
      <c r="G39" s="1352"/>
      <c r="H39" s="1346">
        <f t="shared" si="6"/>
      </c>
    </row>
    <row customHeight="true" hidden="true" ht="32" r="40">
      <c r="A40" s="1312"/>
      <c r="B40" s="1305"/>
      <c r="C40" s="1353"/>
      <c r="D40" s="1354"/>
      <c r="E40" s="1355"/>
      <c r="F40" s="1356"/>
      <c r="G40" s="1356"/>
      <c r="H40" s="1357">
        <f t="shared" si="6"/>
      </c>
      <c r="I40" s="1348"/>
      <c r="J40" s="1290"/>
    </row>
    <row customHeight="true" hidden="true" ht="16" r="41">
      <c r="A41" s="1312"/>
      <c r="B41" s="1305"/>
      <c r="C41" s="1337" t="s">
        <v>836</v>
      </c>
      <c r="D41" s="1337"/>
      <c r="E41" s="1338">
        <f>SUM(E37:E40)</f>
      </c>
      <c r="F41" s="1339"/>
      <c r="G41" s="1340"/>
      <c r="H41" s="1338">
        <f>SUM(H37:H40)</f>
      </c>
    </row>
    <row customHeight="true" hidden="true" ht="16" r="42">
      <c r="A42" s="1301" t="s">
        <v>817</v>
      </c>
      <c r="B42" s="1301"/>
      <c r="C42" s="1301"/>
      <c r="D42" s="1301"/>
      <c r="E42" s="1302">
        <f>SUM(E41)</f>
      </c>
      <c r="F42" s="1303"/>
      <c r="G42" s="1344"/>
      <c r="H42" s="1302">
        <f>SUM(H41)</f>
      </c>
      <c r="I42" s="1311"/>
    </row>
    <row customHeight="true" ht="100" r="43">
      <c r="A43" s="1358" t="s">
        <v>870</v>
      </c>
      <c r="B43" s="1305" t="s">
        <v>871</v>
      </c>
      <c r="C43" s="1358" t="s">
        <v>872</v>
      </c>
      <c r="D43" s="1359" t="s">
        <v>873</v>
      </c>
      <c r="E43" s="1360">
        <v>10</v>
      </c>
      <c r="F43" s="1361"/>
      <c r="G43" s="1361"/>
      <c r="H43" s="1362">
        <f>E43-G43</f>
      </c>
      <c r="I43" s="1311"/>
      <c r="J43" s="1311"/>
    </row>
    <row customHeight="true" ht="17" r="44">
      <c r="A44" s="1301" t="s">
        <v>817</v>
      </c>
      <c r="B44" s="1301"/>
      <c r="C44" s="1301"/>
      <c r="D44" s="1301"/>
      <c r="E44" s="1302">
        <f>SUM(E43)</f>
      </c>
      <c r="F44" s="1303"/>
      <c r="G44" s="1344"/>
      <c r="H44" s="1302">
        <f>SUM(H43)</f>
      </c>
      <c r="I44" s="1311"/>
      <c r="J44" s="1311"/>
    </row>
    <row customHeight="true" ht="16" r="45">
      <c r="A45" s="1302" t="s">
        <v>836</v>
      </c>
      <c r="B45" s="1302"/>
      <c r="C45" s="1302"/>
      <c r="D45" s="1302"/>
      <c r="E45" s="1302">
        <f>SUM(E5,E36,E42,E44)</f>
      </c>
      <c r="F45" s="1303"/>
      <c r="G45" s="1363"/>
      <c r="H45" s="1302">
        <f>SUM(H5,H36,H42,H44)</f>
      </c>
      <c r="I45" s="1290"/>
      <c r="J45" s="1311"/>
    </row>
    <row customHeight="true" ht="16" r="46">
      <c r="B46" s="1311"/>
      <c r="C46" s="1311"/>
      <c r="D46" s="1311"/>
      <c r="E46" s="1311"/>
      <c r="F46" s="1290"/>
      <c r="G46" s="1290"/>
      <c r="H46" s="1290"/>
      <c r="I46" s="1311"/>
      <c r="J46" s="1311"/>
    </row>
    <row customHeight="true" ht="16" r="47">
      <c r="B47" s="1311"/>
      <c r="C47" s="1311"/>
      <c r="D47" s="1311"/>
      <c r="E47" s="1311"/>
      <c r="F47" s="1290"/>
      <c r="G47" s="1290"/>
      <c r="H47" s="1290"/>
      <c r="I47" s="1311"/>
      <c r="J47" s="1290"/>
      <c r="K47" s="1290"/>
      <c r="L47" s="1290"/>
      <c r="M47" s="1290"/>
      <c r="N47" s="1290"/>
      <c r="O47" s="1290"/>
    </row>
    <row r="48">
      <c r="D48" s="1311"/>
      <c r="E48" s="1310" t="s">
        <v>874</v>
      </c>
      <c r="F48" s="1364" t="s">
        <v>802</v>
      </c>
      <c r="G48" s="1364" t="s">
        <v>875</v>
      </c>
      <c r="H48" s="1364" t="s">
        <v>805</v>
      </c>
      <c r="I48" s="1290"/>
      <c r="J48" s="1290"/>
      <c r="M48" s="1290"/>
    </row>
    <row r="49">
      <c r="D49" s="1311"/>
      <c r="E49" s="1365" t="s">
        <v>814</v>
      </c>
      <c r="F49" s="1366">
        <f>SUMIF(F2:F45,"Huyền",E2:E45)</f>
      </c>
      <c r="G49" s="1366">
        <f>SUMIF(F2:F45,"Huyền",G2:G45)</f>
      </c>
      <c r="H49" s="1366">
        <f t="shared" ref="H49:H55" si="0">F49-G49</f>
      </c>
      <c r="I49" s="1290"/>
      <c r="J49" s="1290"/>
    </row>
    <row r="50">
      <c r="D50" s="1290"/>
      <c r="E50" s="1364" t="s">
        <v>822</v>
      </c>
      <c r="F50" s="1310">
        <f>SUMIF(F2:F45,"Hoa",E2:E45)</f>
      </c>
      <c r="G50" s="1366">
        <f>SUMIF(F2:F45,"Hoa",G2:G45)</f>
      </c>
      <c r="H50" s="1310">
        <f t="shared" si="0"/>
      </c>
      <c r="I50" s="1290"/>
      <c r="J50" s="1290"/>
      <c r="K50" s="1290"/>
    </row>
    <row r="51">
      <c r="D51" s="1290"/>
      <c r="E51" s="1310" t="s">
        <v>816</v>
      </c>
      <c r="F51" s="1340">
        <f>SUMIF(F2:F45,"Thúy",E2:E45)</f>
      </c>
      <c r="G51" s="1366">
        <f>SUMIF(F2:F45,"Thúy",G2:G45)</f>
      </c>
      <c r="H51" s="1310">
        <f t="shared" si="0"/>
      </c>
      <c r="I51" s="1290"/>
      <c r="J51" s="1290"/>
      <c r="K51" s="1290"/>
    </row>
    <row r="52">
      <c r="D52" s="1290"/>
      <c r="E52" s="1364" t="s">
        <v>826</v>
      </c>
      <c r="F52" s="1367">
        <f>SUMIF(F2:F45,"Ngân",E2:E45)</f>
      </c>
      <c r="G52" s="1368">
        <f>SUMIF(F2:F45,"Ngân",G2:G45)</f>
      </c>
      <c r="H52" s="1369">
        <f t="shared" si="0"/>
      </c>
      <c r="I52" s="1290"/>
      <c r="L52" s="1290"/>
      <c r="N52" s="1290"/>
    </row>
    <row customHeight="true" ht="16" r="53">
      <c r="D53" s="1311"/>
      <c r="E53" s="1370" t="s">
        <v>811</v>
      </c>
      <c r="F53" s="1371">
        <f>SUMIF(F2:F45,"Bích",E2:E45)</f>
      </c>
      <c r="G53" s="1372">
        <f>SUMIF(F3:F45,"Bích",G3:G45)</f>
      </c>
      <c r="H53" s="1369">
        <f t="shared" si="0"/>
      </c>
      <c r="I53" s="1290"/>
      <c r="L53" s="1290"/>
    </row>
    <row customHeight="true" ht="16" r="54">
      <c r="D54" s="1311"/>
      <c r="E54" s="1370" t="s">
        <v>840</v>
      </c>
      <c r="F54" s="1371">
        <f>SUMIF(F3:F45,"Phương",E3:E45)</f>
      </c>
      <c r="G54" s="1372">
        <f>SUMIF(F4:F45,"Phương",G4:G45)</f>
      </c>
      <c r="H54" s="1369">
        <f t="shared" si="0"/>
      </c>
      <c r="I54" s="1290"/>
      <c r="L54" s="1290"/>
    </row>
    <row r="55">
      <c r="D55" s="1311"/>
      <c r="E55" s="1364" t="s">
        <v>836</v>
      </c>
      <c r="F55" s="1366">
        <f>SUM(F49:F54)</f>
      </c>
      <c r="G55" s="1310">
        <f>SUM(G49:G54)</f>
      </c>
      <c r="H55" s="1369">
        <f t="shared" si="0"/>
      </c>
      <c r="I55" s="1290"/>
      <c r="L55" s="1290"/>
    </row>
    <row r="56">
      <c r="D56" s="1290"/>
      <c r="E56" s="1311"/>
      <c r="F56" s="1311"/>
      <c r="G56" s="1311"/>
      <c r="I56" s="1290"/>
      <c r="L56" s="1290"/>
    </row>
    <row r="57">
      <c r="I57" s="1290"/>
      <c r="L57" s="1290"/>
      <c r="N57" s="1290"/>
    </row>
  </sheetData>
  <mergeCells>
    <mergeCell ref="A2:A4"/>
    <mergeCell ref="A5:D5"/>
    <mergeCell ref="B2:B4"/>
    <mergeCell ref="B17:B20"/>
    <mergeCell ref="C16:D16"/>
    <mergeCell ref="C21:D21"/>
    <mergeCell ref="B22:B27"/>
    <mergeCell ref="B6:B15"/>
    <mergeCell ref="C31:D31"/>
    <mergeCell ref="B37:B41"/>
    <mergeCell ref="A37:A41"/>
    <mergeCell ref="A6:A35"/>
    <mergeCell ref="A45:D45"/>
    <mergeCell ref="A44:D44"/>
    <mergeCell ref="A42:D42"/>
    <mergeCell ref="C41:D41"/>
    <mergeCell ref="A36:D36"/>
    <mergeCell ref="C35:D35"/>
    <mergeCell ref="C32:C34"/>
    <mergeCell ref="C29:C30"/>
    <mergeCell ref="I2:I4"/>
    <mergeCell ref="C6:C8"/>
    <mergeCell ref="C9:C14"/>
    <mergeCell ref="I6:I8"/>
    <mergeCell ref="I9:I14"/>
  </mergeCells>
  <picture r:id="rId1"/>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 min="1" style="0" width="22"/>
    <col collapsed="false" customWidth="true" hidden="false" max="5" min="5" style="0" width="11"/>
    <col collapsed="false" customWidth="true" hidden="false" max="12" min="12" style="0" width="15"/>
    <col collapsed="false" customWidth="true" hidden="false" max="4" min="4" style="0" width="29"/>
    <col collapsed="false" customWidth="true" hidden="false" max="8" min="8" style="0" width="11"/>
    <col collapsed="false" customWidth="true" hidden="false" max="11" min="11" style="0" width="15"/>
    <col collapsed="false" customWidth="true" hidden="false" max="16" min="16" style="0" width="15"/>
    <col collapsed="false" customWidth="true" hidden="false" max="19" min="19" style="0" width="11"/>
    <col collapsed="false" customWidth="true" hidden="false" max="3" min="3" style="0" width="22"/>
    <col collapsed="false" customWidth="true" hidden="false" max="7" min="7" style="0" width="11"/>
    <col collapsed="false" customWidth="true" hidden="false" max="10" min="10" style="0" width="15"/>
    <col collapsed="false" customWidth="true" hidden="false" max="15" min="15" style="0" width="15"/>
    <col collapsed="false" customWidth="true" hidden="false" max="18" min="18" style="0" width="11"/>
    <col collapsed="false" customWidth="true" hidden="false" max="2" min="2" style="0" width="22"/>
    <col collapsed="false" customWidth="true" hidden="false" max="6" min="6" style="0" width="11"/>
    <col collapsed="false" customWidth="true" hidden="false" max="9" min="9" style="0" width="18"/>
    <col collapsed="false" customWidth="true" hidden="false" max="13" min="13" style="0" width="15"/>
    <col collapsed="false" customWidth="true" hidden="false" max="14" min="14" style="0" width="15"/>
  </cols>
  <sheetData>
    <row r="1">
      <c r="A1" s="1373" t="s">
        <v>876</v>
      </c>
      <c r="B1" s="1373" t="s">
        <v>877</v>
      </c>
      <c r="C1" s="1374" t="s">
        <v>878</v>
      </c>
      <c r="D1" s="1373" t="s">
        <v>879</v>
      </c>
      <c r="E1" s="1375" t="s">
        <v>880</v>
      </c>
      <c r="F1" s="1376" t="s">
        <v>881</v>
      </c>
      <c r="G1" s="1373" t="s">
        <v>882</v>
      </c>
      <c r="H1" s="1373" t="s">
        <v>883</v>
      </c>
      <c r="I1" s="1377" t="s">
        <v>884</v>
      </c>
      <c r="J1" s="1378"/>
    </row>
    <row customHeight="true" ht="20" r="2">
      <c r="A2" s="1379" t="s">
        <v>885</v>
      </c>
      <c r="B2" s="1380" t="s">
        <v>886</v>
      </c>
      <c r="C2" s="1381"/>
      <c r="D2" s="1382"/>
      <c r="E2" s="1383"/>
      <c r="F2" s="1384"/>
      <c r="G2" s="1384"/>
      <c r="H2" s="1385">
        <f t="shared" ref="H2:H4" si="2">E2-G2</f>
      </c>
      <c r="I2" s="1386" t="s">
        <v>887</v>
      </c>
    </row>
    <row customHeight="true" ht="20" r="3">
      <c r="A3" s="1379"/>
      <c r="B3" s="1380"/>
      <c r="C3" s="1387" t="s">
        <v>888</v>
      </c>
      <c r="D3" s="1388" t="s">
        <v>889</v>
      </c>
      <c r="E3" s="1389">
        <v>5</v>
      </c>
      <c r="F3" s="1390" t="s">
        <v>890</v>
      </c>
      <c r="G3" s="1390">
        <v>5</v>
      </c>
      <c r="H3" s="1391">
        <f t="shared" si="2"/>
      </c>
      <c r="I3" s="1386"/>
    </row>
    <row customHeight="true" ht="20" r="4">
      <c r="A4" s="1379"/>
      <c r="B4" s="1380"/>
      <c r="C4" s="1392"/>
      <c r="D4" s="1393"/>
      <c r="E4" s="1394"/>
      <c r="F4" s="1395"/>
      <c r="G4" s="1395"/>
      <c r="H4" s="1396">
        <f t="shared" si="2"/>
      </c>
      <c r="I4" s="1386"/>
    </row>
    <row customHeight="true" ht="16" r="5">
      <c r="A5" s="1397" t="s">
        <v>891</v>
      </c>
      <c r="B5" s="1397"/>
      <c r="C5" s="1397"/>
      <c r="D5" s="1397"/>
      <c r="E5" s="1398">
        <f>SUM(E2:E4)</f>
      </c>
      <c r="F5" s="1399"/>
      <c r="G5" s="1399"/>
      <c r="H5" s="1398">
        <f>SUM(H2:H4)</f>
      </c>
      <c r="I5" s="1386"/>
      <c r="K5" s="1400"/>
    </row>
    <row r="6">
      <c r="A6" s="1392" t="s">
        <v>892</v>
      </c>
      <c r="B6" s="1401" t="s">
        <v>893</v>
      </c>
      <c r="C6" s="1392" t="s">
        <v>894</v>
      </c>
      <c r="D6" s="1393" t="s">
        <v>895</v>
      </c>
      <c r="E6" s="1394">
        <v>10</v>
      </c>
      <c r="F6" s="1395" t="s">
        <v>896</v>
      </c>
      <c r="G6" s="1395">
        <v>10</v>
      </c>
      <c r="H6" s="1396">
        <f t="shared" ref="H6:H15" si="3">E6-G6</f>
      </c>
      <c r="I6" s="1386" t="s">
        <v>897</v>
      </c>
      <c r="K6" s="1400"/>
    </row>
    <row customHeight="true" ht="81" r="7">
      <c r="A7" s="1392"/>
      <c r="B7" s="1401"/>
      <c r="C7" s="1392" t="s">
        <v>898</v>
      </c>
      <c r="D7" s="1393" t="s">
        <v>899</v>
      </c>
      <c r="E7" s="1394">
        <v>5</v>
      </c>
      <c r="F7" s="1395" t="s">
        <v>900</v>
      </c>
      <c r="G7" s="1395">
        <v>5</v>
      </c>
      <c r="H7" s="1396">
        <f t="shared" si="3"/>
      </c>
      <c r="I7" s="1386" t="s">
        <v>897</v>
      </c>
      <c r="K7" s="1400"/>
    </row>
    <row customHeight="true" ht="61" r="8">
      <c r="A8" s="1392"/>
      <c r="B8" s="1401"/>
      <c r="C8" s="1392" t="s">
        <v>901</v>
      </c>
      <c r="D8" s="1393" t="s">
        <v>902</v>
      </c>
      <c r="E8" s="1394">
        <v>3</v>
      </c>
      <c r="F8" s="1395" t="s">
        <v>903</v>
      </c>
      <c r="G8" s="1395">
        <v>3</v>
      </c>
      <c r="H8" s="1396">
        <f t="shared" si="3"/>
      </c>
      <c r="I8" s="1402"/>
      <c r="K8" s="1400"/>
    </row>
    <row customHeight="true" ht="70" r="9">
      <c r="A9" s="1392"/>
      <c r="B9" s="1401"/>
      <c r="C9" s="1392" t="s">
        <v>904</v>
      </c>
      <c r="D9" s="1393" t="s">
        <v>905</v>
      </c>
      <c r="E9" s="1394">
        <v>10</v>
      </c>
      <c r="F9" s="1395" t="s">
        <v>906</v>
      </c>
      <c r="G9" s="1395">
        <v>10</v>
      </c>
      <c r="H9" s="1396">
        <f t="shared" si="3"/>
      </c>
      <c r="I9" s="1402"/>
      <c r="K9" s="1400"/>
    </row>
    <row customHeight="true" hidden="true" ht="50" r="10">
      <c r="A10" s="1392"/>
      <c r="B10" s="1401"/>
      <c r="C10" s="1392"/>
      <c r="D10" s="1393"/>
      <c r="E10" s="1394"/>
      <c r="F10" s="1395"/>
      <c r="G10" s="1395"/>
      <c r="H10" s="1396">
        <f t="shared" si="3"/>
      </c>
      <c r="I10" s="1402"/>
      <c r="K10" s="1400"/>
    </row>
    <row customHeight="true" hidden="true" ht="50" r="11">
      <c r="A11" s="1392"/>
      <c r="B11" s="1401"/>
      <c r="C11" s="1392"/>
      <c r="D11" s="1393"/>
      <c r="E11" s="1394"/>
      <c r="F11" s="1395"/>
      <c r="G11" s="1395"/>
      <c r="H11" s="1396">
        <f t="shared" si="3"/>
      </c>
      <c r="I11" s="1402"/>
      <c r="K11" s="1400"/>
    </row>
    <row customHeight="true" hidden="true" ht="50" r="12">
      <c r="A12" s="1392"/>
      <c r="B12" s="1401"/>
      <c r="C12" s="1392"/>
      <c r="D12" s="1393"/>
      <c r="E12" s="1394"/>
      <c r="F12" s="1395"/>
      <c r="G12" s="1395"/>
      <c r="H12" s="1396">
        <f t="shared" si="3"/>
      </c>
      <c r="I12" s="1402"/>
      <c r="K12" s="1400"/>
    </row>
    <row customHeight="true" hidden="true" ht="50" r="13">
      <c r="A13" s="1392"/>
      <c r="B13" s="1401"/>
      <c r="C13" s="1392"/>
      <c r="D13" s="1393"/>
      <c r="E13" s="1394"/>
      <c r="F13" s="1395"/>
      <c r="G13" s="1395"/>
      <c r="H13" s="1396">
        <f t="shared" si="3"/>
      </c>
      <c r="I13" s="1402"/>
      <c r="K13" s="1400"/>
    </row>
    <row customHeight="true" hidden="true" ht="50" r="14">
      <c r="A14" s="1392"/>
      <c r="B14" s="1401"/>
      <c r="C14" s="1392"/>
      <c r="D14" s="1393"/>
      <c r="E14" s="1394"/>
      <c r="F14" s="1395"/>
      <c r="G14" s="1395"/>
      <c r="H14" s="1396">
        <f t="shared" si="3"/>
      </c>
      <c r="I14" s="1402"/>
      <c r="K14" s="1400"/>
    </row>
    <row customHeight="true" hidden="true" ht="50" r="15">
      <c r="A15" s="1392"/>
      <c r="B15" s="1401"/>
      <c r="C15" s="1392"/>
      <c r="D15" s="1393"/>
      <c r="E15" s="1394"/>
      <c r="F15" s="1395"/>
      <c r="G15" s="1395"/>
      <c r="H15" s="1396">
        <f t="shared" si="3"/>
      </c>
      <c r="I15" s="1386"/>
      <c r="K15" s="1400"/>
    </row>
    <row customHeight="true" ht="16" r="16">
      <c r="A16" s="1392"/>
      <c r="B16" s="1401"/>
      <c r="C16" s="1403" t="s">
        <v>907</v>
      </c>
      <c r="D16" s="1403"/>
      <c r="E16" s="1404">
        <f>SUM(E6:E15)</f>
      </c>
      <c r="F16" s="1405"/>
      <c r="G16" s="1406"/>
      <c r="H16" s="1404">
        <f>SUM(H6:H15)</f>
      </c>
      <c r="I16" s="1407"/>
    </row>
    <row customHeight="true" ht="90" r="17">
      <c r="A17" s="1392"/>
      <c r="B17" s="1401" t="s">
        <v>908</v>
      </c>
      <c r="C17" s="1408" t="s">
        <v>909</v>
      </c>
      <c r="D17" s="1409" t="s">
        <v>910</v>
      </c>
      <c r="E17" s="1410">
        <v>10</v>
      </c>
      <c r="F17" s="1411" t="s">
        <v>903</v>
      </c>
      <c r="G17" s="1411">
        <v>10</v>
      </c>
      <c r="H17" s="1412">
        <f t="shared" ref="H17:H20" si="4">E17-G17</f>
      </c>
      <c r="I17" s="1386" t="s">
        <v>911</v>
      </c>
    </row>
    <row customHeight="true" ht="81" r="18">
      <c r="A18" s="1392"/>
      <c r="B18" s="1401"/>
      <c r="C18" s="1413" t="s">
        <v>912</v>
      </c>
      <c r="D18" s="1414" t="s">
        <v>913</v>
      </c>
      <c r="E18" s="1415">
        <v>5</v>
      </c>
      <c r="F18" s="1416" t="s">
        <v>906</v>
      </c>
      <c r="G18" s="1416">
        <v>5</v>
      </c>
      <c r="H18" s="1417">
        <f t="shared" si="4"/>
      </c>
      <c r="I18" s="1386"/>
    </row>
    <row customHeight="true" hidden="true" ht="44" r="19">
      <c r="A19" s="1392"/>
      <c r="B19" s="1401"/>
      <c r="C19" s="1418"/>
      <c r="D19" s="1419"/>
      <c r="E19" s="1420"/>
      <c r="F19" s="1421"/>
      <c r="G19" s="1421"/>
      <c r="H19" s="1422">
        <f t="shared" si="4"/>
      </c>
      <c r="I19" s="1386"/>
      <c r="J19" s="1386"/>
    </row>
    <row customHeight="true" hidden="true" ht="58" r="20">
      <c r="A20" s="1392"/>
      <c r="B20" s="1401"/>
      <c r="C20" s="1379"/>
      <c r="D20" s="1423"/>
      <c r="E20" s="1424"/>
      <c r="F20" s="1425"/>
      <c r="G20" s="1425"/>
      <c r="H20" s="1426">
        <f t="shared" si="4"/>
      </c>
      <c r="I20" s="1386"/>
    </row>
    <row customHeight="true" ht="16" r="21">
      <c r="A21" s="1392"/>
      <c r="B21" s="1401"/>
      <c r="C21" s="1403" t="s">
        <v>907</v>
      </c>
      <c r="D21" s="1403"/>
      <c r="E21" s="1404">
        <f>SUM(E17:E20)</f>
      </c>
      <c r="F21" s="1405"/>
      <c r="G21" s="1406"/>
      <c r="H21" s="1404">
        <f>SUM(H17:H20)</f>
      </c>
      <c r="I21" s="1407"/>
    </row>
    <row customHeight="true" ht="52" r="22">
      <c r="A22" s="1392"/>
      <c r="B22" s="1380" t="s">
        <v>914</v>
      </c>
      <c r="C22" s="1427" t="s">
        <v>915</v>
      </c>
      <c r="D22" s="1428" t="s">
        <v>916</v>
      </c>
      <c r="E22" s="1429">
        <v>5</v>
      </c>
      <c r="F22" s="1430" t="s">
        <v>896</v>
      </c>
      <c r="G22" s="1430">
        <v>5</v>
      </c>
      <c r="H22" s="1431">
        <f t="shared" ref="H22:H30" si="5">E22-G22</f>
      </c>
      <c r="J22" s="1407"/>
    </row>
    <row customHeight="true" ht="67" r="23">
      <c r="A23" s="1392"/>
      <c r="B23" s="1380"/>
      <c r="C23" s="1427" t="s">
        <v>917</v>
      </c>
      <c r="D23" s="1428" t="s">
        <v>918</v>
      </c>
      <c r="E23" s="1429">
        <v>8</v>
      </c>
      <c r="F23" s="1430" t="s">
        <v>919</v>
      </c>
      <c r="G23" s="1430">
        <v>4</v>
      </c>
      <c r="H23" s="1431">
        <f t="shared" si="5"/>
      </c>
      <c r="I23" s="1386"/>
      <c r="J23" s="1407"/>
    </row>
    <row customHeight="true" ht="56" r="24">
      <c r="A24" s="1392"/>
      <c r="B24" s="1380"/>
      <c r="C24" s="1427" t="s">
        <v>920</v>
      </c>
      <c r="D24" s="1428" t="s">
        <v>921</v>
      </c>
      <c r="E24" s="1429">
        <v>10</v>
      </c>
      <c r="F24" s="1430" t="s">
        <v>906</v>
      </c>
      <c r="G24" s="1430">
        <v>5</v>
      </c>
      <c r="H24" s="1431">
        <f t="shared" si="5"/>
      </c>
      <c r="I24" s="1407"/>
      <c r="J24" s="1386"/>
    </row>
    <row customHeight="true" ht="42" r="25">
      <c r="A25" s="1392"/>
      <c r="B25" s="1380"/>
      <c r="C25" s="1427" t="s">
        <v>922</v>
      </c>
      <c r="D25" s="1428" t="s">
        <v>923</v>
      </c>
      <c r="E25" s="1429"/>
      <c r="F25" s="1430" t="s">
        <v>924</v>
      </c>
      <c r="G25" s="1430"/>
      <c r="H25" s="1431">
        <f t="shared" si="5"/>
      </c>
      <c r="I25" s="1386"/>
      <c r="J25" s="1407"/>
    </row>
    <row customHeight="true" hidden="true" ht="40" r="26">
      <c r="A26" s="1392"/>
      <c r="B26" s="1380"/>
      <c r="C26" s="1427"/>
      <c r="D26" s="1428"/>
      <c r="E26" s="1429"/>
      <c r="F26" s="1430"/>
      <c r="G26" s="1430"/>
      <c r="H26" s="1431">
        <f t="shared" si="5"/>
      </c>
      <c r="I26" s="1386"/>
      <c r="J26" s="1407"/>
    </row>
    <row customHeight="true" ht="57" r="27">
      <c r="A27" s="1392"/>
      <c r="B27" s="1380"/>
      <c r="C27" s="1427" t="s">
        <v>925</v>
      </c>
      <c r="D27" s="1428" t="s">
        <v>926</v>
      </c>
      <c r="E27" s="1432">
        <v>8</v>
      </c>
      <c r="F27" s="1430" t="s">
        <v>919</v>
      </c>
      <c r="G27" s="1430">
        <v>8</v>
      </c>
      <c r="H27" s="1431">
        <f t="shared" si="5"/>
      </c>
      <c r="I27" s="1386"/>
      <c r="J27" s="1386" t="s">
        <v>927</v>
      </c>
    </row>
    <row customHeight="true" ht="88" r="28">
      <c r="A28" s="1392"/>
      <c r="B28" s="1380"/>
      <c r="C28" s="1427" t="s">
        <v>928</v>
      </c>
      <c r="D28" s="1428" t="s">
        <v>929</v>
      </c>
      <c r="E28" s="1429">
        <v>10</v>
      </c>
      <c r="F28" s="1430" t="s">
        <v>919</v>
      </c>
      <c r="G28" s="1430">
        <v>10</v>
      </c>
      <c r="H28" s="1431">
        <f t="shared" si="5"/>
      </c>
      <c r="I28" s="1386" t="s">
        <v>897</v>
      </c>
      <c r="J28" s="1386"/>
    </row>
    <row customHeight="true" hidden="true" ht="39" r="29">
      <c r="A29" s="1392"/>
      <c r="B29" s="1380"/>
      <c r="C29" s="1427"/>
      <c r="D29" s="1428"/>
      <c r="E29" s="1429"/>
      <c r="F29" s="1430"/>
      <c r="G29" s="1430"/>
      <c r="H29" s="1431">
        <f t="shared" si="5"/>
      </c>
      <c r="I29" s="1386"/>
      <c r="J29" s="1386"/>
    </row>
    <row customHeight="true" hidden="true" ht="39" r="30">
      <c r="A30" s="1392"/>
      <c r="B30" s="1380"/>
      <c r="C30" s="1427"/>
      <c r="D30" s="1428"/>
      <c r="E30" s="1429"/>
      <c r="F30" s="1430"/>
      <c r="G30" s="1430"/>
      <c r="H30" s="1431">
        <f t="shared" si="5"/>
      </c>
      <c r="I30" s="1386"/>
      <c r="J30" s="1386"/>
    </row>
    <row customHeight="true" ht="15" r="31">
      <c r="A31" s="1392"/>
      <c r="B31" s="1380"/>
      <c r="C31" s="1433" t="s">
        <v>907</v>
      </c>
      <c r="D31" s="1433"/>
      <c r="E31" s="1434">
        <f>SUM(E22:E30)</f>
      </c>
      <c r="F31" s="1435"/>
      <c r="G31" s="1436"/>
      <c r="H31" s="1434">
        <f>SUM(H22:H30)</f>
      </c>
      <c r="I31" s="1407"/>
      <c r="J31" s="1407"/>
    </row>
    <row customHeight="true" ht="78" r="32">
      <c r="A32" s="1392"/>
      <c r="B32" s="1401" t="s">
        <v>930</v>
      </c>
      <c r="C32" s="1418" t="s">
        <v>931</v>
      </c>
      <c r="D32" s="1419" t="s">
        <v>932</v>
      </c>
      <c r="E32" s="1420">
        <v>8</v>
      </c>
      <c r="F32" s="1421" t="s">
        <v>900</v>
      </c>
      <c r="G32" s="1421">
        <v>8</v>
      </c>
      <c r="H32" s="1422">
        <f t="shared" ref="H32:H34" si="6">E32-G32</f>
      </c>
      <c r="I32" s="1407"/>
    </row>
    <row customHeight="true" ht="79" r="33">
      <c r="A33" s="1392"/>
      <c r="B33" s="1401"/>
      <c r="C33" s="1418"/>
      <c r="D33" s="1419" t="s">
        <v>933</v>
      </c>
      <c r="E33" s="1437">
        <v>2</v>
      </c>
      <c r="F33" s="1438" t="s">
        <v>903</v>
      </c>
      <c r="G33" s="1438">
        <v>2</v>
      </c>
      <c r="H33" s="1439">
        <f t="shared" si="6"/>
      </c>
      <c r="I33" s="1407"/>
    </row>
    <row customHeight="true" ht="79" r="34">
      <c r="A34" s="1392"/>
      <c r="B34" s="1401"/>
      <c r="C34" s="1418" t="s">
        <v>934</v>
      </c>
      <c r="D34" s="1419" t="s">
        <v>935</v>
      </c>
      <c r="E34" s="1437">
        <v>10</v>
      </c>
      <c r="F34" s="1438" t="s">
        <v>896</v>
      </c>
      <c r="G34" s="1438">
        <v>10</v>
      </c>
      <c r="H34" s="1439">
        <f t="shared" si="6"/>
      </c>
      <c r="I34" s="1407"/>
    </row>
    <row customHeight="true" ht="13" r="35">
      <c r="A35" s="1392"/>
      <c r="B35" s="1401"/>
      <c r="C35" s="1433" t="s">
        <v>907</v>
      </c>
      <c r="D35" s="1433"/>
      <c r="E35" s="1434">
        <f>SUM(E32:E34)</f>
      </c>
      <c r="F35" s="1435"/>
      <c r="G35" s="1436"/>
      <c r="H35" s="1434">
        <f>SUM(H32:H34)</f>
      </c>
      <c r="I35" s="1407"/>
    </row>
    <row customHeight="true" ht="16" r="36">
      <c r="A36" s="1397" t="s">
        <v>891</v>
      </c>
      <c r="B36" s="1397"/>
      <c r="C36" s="1397"/>
      <c r="D36" s="1397"/>
      <c r="E36" s="1398">
        <f>SUM(E16,E21,E31,E35)</f>
      </c>
      <c r="F36" s="1399"/>
      <c r="G36" s="1440"/>
      <c r="H36" s="1398">
        <f>SUM(H16,H21,H31,H35)</f>
      </c>
      <c r="I36" s="1407"/>
    </row>
    <row customHeight="true" hidden="true" ht="28" r="37">
      <c r="A37" s="1408"/>
      <c r="B37" s="1401"/>
      <c r="C37" s="1413"/>
      <c r="D37" s="1441"/>
      <c r="E37" s="1442"/>
      <c r="F37" s="1416"/>
      <c r="G37" s="1416"/>
      <c r="H37" s="1443">
        <f t="shared" ref="H37:H40" si="7">E37-G37</f>
      </c>
      <c r="I37" s="1386"/>
    </row>
    <row customHeight="true" hidden="true" ht="32" r="38">
      <c r="A38" s="1408"/>
      <c r="B38" s="1401"/>
      <c r="C38" s="1379"/>
      <c r="D38" s="1423"/>
      <c r="E38" s="1424"/>
      <c r="F38" s="1425"/>
      <c r="G38" s="1425"/>
      <c r="H38" s="1444">
        <f t="shared" si="7"/>
      </c>
      <c r="I38" s="1445"/>
    </row>
    <row customHeight="true" hidden="true" ht="29" r="39">
      <c r="A39" s="1408"/>
      <c r="B39" s="1401"/>
      <c r="C39" s="1446"/>
      <c r="D39" s="1447"/>
      <c r="E39" s="1448"/>
      <c r="F39" s="1449"/>
      <c r="G39" s="1449"/>
      <c r="H39" s="1443">
        <f t="shared" si="7"/>
      </c>
    </row>
    <row customHeight="true" hidden="true" ht="32" r="40">
      <c r="A40" s="1408"/>
      <c r="B40" s="1401"/>
      <c r="C40" s="1450"/>
      <c r="D40" s="1451"/>
      <c r="E40" s="1452"/>
      <c r="F40" s="1453"/>
      <c r="G40" s="1453"/>
      <c r="H40" s="1454">
        <f t="shared" si="7"/>
      </c>
      <c r="I40" s="1445"/>
      <c r="J40" s="1386"/>
    </row>
    <row customHeight="true" hidden="true" ht="16" r="41">
      <c r="A41" s="1408"/>
      <c r="B41" s="1401"/>
      <c r="C41" s="1433" t="s">
        <v>907</v>
      </c>
      <c r="D41" s="1433"/>
      <c r="E41" s="1434">
        <f>SUM(E37:E40)</f>
      </c>
      <c r="F41" s="1435"/>
      <c r="G41" s="1436"/>
      <c r="H41" s="1434">
        <f>SUM(H37:H40)</f>
      </c>
    </row>
    <row customHeight="true" hidden="true" ht="16" r="42">
      <c r="A42" s="1397" t="s">
        <v>891</v>
      </c>
      <c r="B42" s="1397"/>
      <c r="C42" s="1397"/>
      <c r="D42" s="1397"/>
      <c r="E42" s="1398">
        <f>SUM(E41)</f>
      </c>
      <c r="F42" s="1399"/>
      <c r="G42" s="1440"/>
      <c r="H42" s="1398">
        <f>SUM(H41)</f>
      </c>
      <c r="I42" s="1407"/>
    </row>
    <row customHeight="true" ht="100" r="43">
      <c r="A43" s="1455" t="s">
        <v>936</v>
      </c>
      <c r="B43" s="1401" t="s">
        <v>937</v>
      </c>
      <c r="C43" s="1455" t="s">
        <v>938</v>
      </c>
      <c r="D43" s="1456" t="s">
        <v>939</v>
      </c>
      <c r="E43" s="1457"/>
      <c r="F43" s="1458"/>
      <c r="G43" s="1458"/>
      <c r="H43" s="1459">
        <f>E43-G43</f>
      </c>
      <c r="I43" s="1407"/>
      <c r="J43" s="1407"/>
    </row>
    <row customHeight="true" ht="17" r="44">
      <c r="A44" s="1397" t="s">
        <v>891</v>
      </c>
      <c r="B44" s="1397"/>
      <c r="C44" s="1397"/>
      <c r="D44" s="1397"/>
      <c r="E44" s="1398">
        <f>SUM(E43)</f>
      </c>
      <c r="F44" s="1399"/>
      <c r="G44" s="1440"/>
      <c r="H44" s="1398">
        <f>SUM(H43)</f>
      </c>
      <c r="I44" s="1407"/>
      <c r="J44" s="1407"/>
    </row>
    <row customHeight="true" ht="16" r="45">
      <c r="A45" s="1398" t="s">
        <v>907</v>
      </c>
      <c r="B45" s="1398"/>
      <c r="C45" s="1398"/>
      <c r="D45" s="1398"/>
      <c r="E45" s="1398">
        <f>SUM(E5,E36,E42,E44)</f>
      </c>
      <c r="F45" s="1399"/>
      <c r="G45" s="1460"/>
      <c r="H45" s="1398">
        <f>SUM(H5,H36,H42,H44)</f>
      </c>
      <c r="I45" s="1386"/>
      <c r="J45" s="1407"/>
    </row>
    <row customHeight="true" ht="16" r="46">
      <c r="B46" s="1407"/>
      <c r="C46" s="1407"/>
      <c r="D46" s="1407"/>
      <c r="E46" s="1407"/>
      <c r="F46" s="1386"/>
      <c r="G46" s="1386"/>
      <c r="H46" s="1386"/>
      <c r="I46" s="1407"/>
      <c r="J46" s="1407"/>
    </row>
    <row customHeight="true" ht="16" r="47">
      <c r="B47" s="1407"/>
      <c r="C47" s="1407"/>
      <c r="D47" s="1407"/>
      <c r="E47" s="1407"/>
      <c r="F47" s="1386"/>
      <c r="G47" s="1386"/>
      <c r="H47" s="1386"/>
      <c r="I47" s="1407"/>
      <c r="J47" s="1386"/>
      <c r="K47" s="1386"/>
      <c r="L47" s="1386"/>
      <c r="M47" s="1386"/>
      <c r="N47" s="1386"/>
      <c r="O47" s="1386"/>
      <c r="P47" s="1386"/>
    </row>
    <row r="48">
      <c r="D48" s="1407"/>
      <c r="E48" s="1406" t="s">
        <v>940</v>
      </c>
      <c r="F48" s="1461" t="s">
        <v>880</v>
      </c>
      <c r="G48" s="1461" t="s">
        <v>941</v>
      </c>
      <c r="H48" s="1461" t="s">
        <v>883</v>
      </c>
      <c r="I48" s="1386"/>
      <c r="J48" s="1386"/>
      <c r="M48" s="1386"/>
    </row>
    <row r="49">
      <c r="D49" s="1407"/>
      <c r="E49" s="1462" t="s">
        <v>890</v>
      </c>
      <c r="F49" s="1463">
        <f>SUMIF(F2:F45,"Huyền",E2:E45)</f>
      </c>
      <c r="G49" s="1463">
        <f>SUMIF(F2:F45,"Huyền",G2:G45)</f>
      </c>
      <c r="H49" s="1463">
        <f t="shared" ref="H49:H55" si="0">F49-G49</f>
      </c>
      <c r="I49" s="1386"/>
      <c r="J49" s="1386"/>
    </row>
    <row r="50">
      <c r="D50" s="1386"/>
      <c r="E50" s="1461" t="s">
        <v>896</v>
      </c>
      <c r="F50" s="1406">
        <f>SUMIF(F2:F45,"Hoa",E2:E45)</f>
      </c>
      <c r="G50" s="1463">
        <f>SUMIF(F2:F45,"Hoa",G2:G45)</f>
      </c>
      <c r="H50" s="1406">
        <f t="shared" si="0"/>
      </c>
      <c r="I50" s="1386"/>
      <c r="J50" s="1386"/>
      <c r="K50" s="1386" t="s">
        <v>942</v>
      </c>
      <c r="L50" s="1386" t="s">
        <v>943</v>
      </c>
      <c r="M50" s="1386" t="s">
        <v>944</v>
      </c>
      <c r="N50" s="1386" t="s">
        <v>945</v>
      </c>
      <c r="O50" s="1386" t="s">
        <v>946</v>
      </c>
      <c r="P50" s="1386" t="s">
        <v>947</v>
      </c>
      <c r="Q50" s="1386" t="s">
        <v>891</v>
      </c>
      <c r="R50" s="1386"/>
      <c r="S50" s="1386"/>
    </row>
    <row r="51">
      <c r="D51" s="1386"/>
      <c r="E51" s="1406" t="s">
        <v>906</v>
      </c>
      <c r="F51" s="1436">
        <f>SUMIF(F2:F45,"Thúy",E2:E45)</f>
      </c>
      <c r="G51" s="1463">
        <f>SUMIF(F2:F45,"Thúy",G2:G45)</f>
      </c>
      <c r="H51" s="1406">
        <f t="shared" si="0"/>
      </c>
      <c r="I51" s="1386"/>
      <c r="J51" s="1386" t="s">
        <v>948</v>
      </c>
      <c r="K51" s="1386">
        <v>27</v>
      </c>
      <c r="L51" s="1386">
        <v>25</v>
      </c>
      <c r="M51" s="1386">
        <v>14</v>
      </c>
      <c r="N51" s="1386">
        <v>5</v>
      </c>
      <c r="O51" s="1386">
        <v>7</v>
      </c>
      <c r="P51" s="1386">
        <v>2</v>
      </c>
      <c r="Q51">
        <f>SUM(K51:P51)</f>
      </c>
    </row>
    <row r="52">
      <c r="D52" s="1386"/>
      <c r="E52" s="1461" t="s">
        <v>919</v>
      </c>
      <c r="F52" s="1464">
        <f>SUMIF(F2:F45,"Ngân",E2:E45)</f>
      </c>
      <c r="G52" s="1465">
        <f>SUMIF(F2:F45,"Ngân",G2:G45)</f>
      </c>
      <c r="H52" s="1466">
        <f t="shared" si="0"/>
      </c>
      <c r="I52" s="1386"/>
      <c r="J52" s="1386" t="s">
        <v>949</v>
      </c>
      <c r="L52" s="1386"/>
      <c r="N52" s="1386">
        <v>22</v>
      </c>
      <c r="O52" s="1386">
        <v>20</v>
      </c>
      <c r="P52" s="1386"/>
      <c r="Q52">
        <f t="shared" ref="Q52:Q53" si="1">SUM(K52:O52)</f>
      </c>
    </row>
    <row customHeight="true" ht="16" r="53">
      <c r="D53" s="1407"/>
      <c r="E53" s="1467" t="s">
        <v>900</v>
      </c>
      <c r="F53" s="1468">
        <f>SUMIF(F2:F45,"Bích",E2:E45)</f>
      </c>
      <c r="G53" s="1469">
        <f>SUMIF(F3:F45,"Bích",G3:G45)</f>
      </c>
      <c r="H53" s="1466">
        <f t="shared" si="0"/>
      </c>
      <c r="I53" s="1386"/>
      <c r="J53" s="1386" t="s">
        <v>891</v>
      </c>
      <c r="K53">
        <f>SUM(K51:K52)</f>
      </c>
      <c r="L53">
        <f>SUM(L51:L52)</f>
      </c>
      <c r="M53">
        <f>SUM(M51:M52)</f>
      </c>
      <c r="N53">
        <f>SUM(N51:N52)</f>
      </c>
      <c r="O53">
        <f>SUM(O51:O52)</f>
      </c>
      <c r="Q53">
        <f t="shared" si="1"/>
      </c>
    </row>
    <row customHeight="true" ht="16" r="54">
      <c r="D54" s="1407"/>
      <c r="E54" s="1467" t="s">
        <v>903</v>
      </c>
      <c r="F54" s="1468">
        <f>SUMIF(F3:F45,"Phương",E3:E45)</f>
      </c>
      <c r="G54" s="1469">
        <f>SUMIF(F4:F45,"Phương",G4:G45)</f>
      </c>
      <c r="H54" s="1466">
        <f t="shared" si="0"/>
      </c>
      <c r="I54" s="1386"/>
      <c r="L54" s="1386"/>
    </row>
    <row r="55">
      <c r="D55" s="1407"/>
      <c r="E55" s="1461" t="s">
        <v>907</v>
      </c>
      <c r="F55" s="1463">
        <f>SUM(F49:F54)</f>
      </c>
      <c r="G55" s="1406">
        <f>SUM(G49:G54)</f>
      </c>
      <c r="H55" s="1466">
        <f t="shared" si="0"/>
      </c>
      <c r="I55" s="1386"/>
      <c r="L55" s="1386"/>
    </row>
    <row r="56">
      <c r="D56" s="1386"/>
      <c r="E56" s="1407"/>
      <c r="F56" s="1407"/>
      <c r="G56" s="1407"/>
      <c r="I56" s="1386"/>
      <c r="L56" s="1386"/>
    </row>
    <row r="57">
      <c r="I57" s="1386"/>
      <c r="L57" s="1386"/>
      <c r="N57" s="1386"/>
    </row>
  </sheetData>
  <mergeCells>
    <mergeCell ref="A2:A4"/>
    <mergeCell ref="A5:D5"/>
    <mergeCell ref="B2:B4"/>
    <mergeCell ref="C16:D16"/>
    <mergeCell ref="C21:D21"/>
    <mergeCell ref="C31:D31"/>
    <mergeCell ref="B37:B41"/>
    <mergeCell ref="A37:A41"/>
    <mergeCell ref="A6:A35"/>
    <mergeCell ref="A45:D45"/>
    <mergeCell ref="A44:D44"/>
    <mergeCell ref="A42:D42"/>
    <mergeCell ref="C41:D41"/>
    <mergeCell ref="A36:D36"/>
    <mergeCell ref="C35:D35"/>
    <mergeCell ref="I2:I4"/>
    <mergeCell ref="I9:I14"/>
    <mergeCell ref="C32:C33"/>
  </mergeCells>
  <picture r:id="rId1"/>
</worksheet>
</file>

<file path=xl/worksheets/sheet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 min="1" style="0" width="22"/>
    <col collapsed="false" customWidth="true" hidden="false" max="5" min="5" style="0" width="11"/>
    <col collapsed="false" customWidth="true" hidden="false" max="12" min="12" style="0" width="15"/>
    <col collapsed="false" customWidth="true" hidden="false" max="16" min="16" style="0" width="15"/>
    <col collapsed="false" customWidth="true" hidden="false" max="2" min="2" style="0" width="22"/>
    <col collapsed="false" customWidth="true" hidden="false" max="6" min="6" style="0" width="11"/>
    <col collapsed="false" customWidth="true" hidden="false" max="9" min="9" style="0" width="18"/>
    <col collapsed="false" customWidth="true" hidden="false" max="13" min="13" style="0" width="15"/>
    <col collapsed="false" customWidth="true" hidden="false" max="17" min="17" style="0" width="15"/>
    <col collapsed="false" customWidth="true" hidden="false" max="21" min="21" style="0" width="11"/>
    <col collapsed="false" customWidth="true" hidden="false" max="3" min="3" style="0" width="22"/>
    <col collapsed="false" customWidth="true" hidden="false" max="7" min="7" style="0" width="11"/>
    <col collapsed="false" customWidth="true" hidden="false" max="10" min="10" style="0" width="15"/>
    <col collapsed="false" customWidth="true" hidden="false" max="14" min="14" style="0" width="15"/>
    <col collapsed="false" customWidth="true" hidden="false" max="18" min="18" style="0" width="15"/>
    <col collapsed="false" customWidth="true" hidden="false" max="22" min="22" style="0" width="11"/>
    <col collapsed="false" customWidth="true" hidden="false" max="4" min="4" style="0" width="29"/>
    <col collapsed="false" customWidth="true" hidden="false" max="8" min="8" style="0" width="11"/>
    <col collapsed="false" customWidth="true" hidden="false" max="11" min="11" style="0" width="15"/>
    <col collapsed="false" customWidth="true" hidden="false" max="15" min="15" style="0" width="15"/>
    <col collapsed="false" customWidth="true" hidden="false" max="19" min="19" style="0" width="15"/>
  </cols>
  <sheetData>
    <row r="1">
      <c r="A1" s="1470" t="s">
        <v>950</v>
      </c>
      <c r="B1" s="1470" t="s">
        <v>951</v>
      </c>
      <c r="C1" s="1471" t="s">
        <v>952</v>
      </c>
      <c r="D1" s="1470" t="s">
        <v>953</v>
      </c>
      <c r="E1" s="1472" t="s">
        <v>954</v>
      </c>
      <c r="F1" s="1473" t="s">
        <v>955</v>
      </c>
      <c r="G1" s="1470" t="s">
        <v>956</v>
      </c>
      <c r="H1" s="1470" t="s">
        <v>957</v>
      </c>
      <c r="I1" s="1474" t="s">
        <v>958</v>
      </c>
      <c r="J1" s="1475"/>
    </row>
    <row customHeight="true" ht="20" r="2">
      <c r="A2" s="1476" t="s">
        <v>959</v>
      </c>
      <c r="B2" s="1477" t="s">
        <v>960</v>
      </c>
      <c r="C2" s="1478" t="s">
        <v>961</v>
      </c>
      <c r="D2" s="1479" t="s">
        <v>962</v>
      </c>
      <c r="E2" s="1480">
        <v>5</v>
      </c>
      <c r="F2" s="1481" t="s">
        <v>963</v>
      </c>
      <c r="G2" s="1481">
        <v>5</v>
      </c>
      <c r="H2" s="1482">
        <f t="shared" ref="H2:H5" si="2">E2-G2</f>
      </c>
      <c r="I2" s="1483" t="s">
        <v>964</v>
      </c>
    </row>
    <row customHeight="true" ht="20" r="3">
      <c r="A3" s="1476"/>
      <c r="B3" s="1477"/>
      <c r="C3" s="1484" t="s">
        <v>965</v>
      </c>
      <c r="D3" s="1485" t="s">
        <v>962</v>
      </c>
      <c r="E3" s="1486">
        <v>5</v>
      </c>
      <c r="F3" s="1487" t="s">
        <v>963</v>
      </c>
      <c r="G3" s="1487">
        <v>5</v>
      </c>
      <c r="H3" s="1488">
        <f t="shared" si="2"/>
      </c>
      <c r="I3" s="1483"/>
    </row>
    <row customHeight="true" ht="112" r="4">
      <c r="A4" s="1476"/>
      <c r="B4" s="1477"/>
      <c r="C4" s="1489" t="s">
        <v>966</v>
      </c>
      <c r="D4" s="1490" t="s">
        <v>962</v>
      </c>
      <c r="E4" s="1491">
        <v>5</v>
      </c>
      <c r="F4" s="1492" t="s">
        <v>967</v>
      </c>
      <c r="G4" s="1492">
        <v>3</v>
      </c>
      <c r="H4" s="1493">
        <f t="shared" si="2"/>
      </c>
      <c r="I4" s="1483"/>
    </row>
    <row customHeight="true" ht="20" r="5">
      <c r="A5" s="1476"/>
      <c r="B5" s="1477"/>
      <c r="C5" s="1476" t="s">
        <v>968</v>
      </c>
      <c r="D5" s="1494" t="s">
        <v>962</v>
      </c>
      <c r="E5" s="1495">
        <v>5</v>
      </c>
      <c r="F5" s="1496" t="s">
        <v>969</v>
      </c>
      <c r="G5" s="1497">
        <v>2</v>
      </c>
      <c r="H5" s="1498">
        <f t="shared" si="2"/>
      </c>
      <c r="I5" s="1483"/>
    </row>
    <row customHeight="true" ht="16" r="6">
      <c r="A6" s="1499" t="s">
        <v>970</v>
      </c>
      <c r="B6" s="1499"/>
      <c r="C6" s="1499"/>
      <c r="D6" s="1499"/>
      <c r="E6" s="1500">
        <f>SUM(E2:E5)</f>
      </c>
      <c r="F6" s="1501"/>
      <c r="G6" s="1501"/>
      <c r="H6" s="1500">
        <f>SUM(H2:H5)</f>
      </c>
      <c r="I6" s="1483"/>
      <c r="K6" s="1502"/>
    </row>
    <row r="7">
      <c r="A7" s="1489" t="s">
        <v>971</v>
      </c>
      <c r="B7" s="1503" t="s">
        <v>972</v>
      </c>
      <c r="C7" s="1489" t="s">
        <v>973</v>
      </c>
      <c r="D7" s="1490" t="s">
        <v>974</v>
      </c>
      <c r="E7" s="1491">
        <v>5</v>
      </c>
      <c r="F7" s="1492" t="s">
        <v>975</v>
      </c>
      <c r="G7" s="1492"/>
      <c r="H7" s="1493">
        <f t="shared" ref="H7:H16" si="3">E7-G7</f>
      </c>
      <c r="I7" s="1483"/>
      <c r="K7" s="1502"/>
    </row>
    <row customHeight="true" ht="81" r="8">
      <c r="A8" s="1489"/>
      <c r="B8" s="1503"/>
      <c r="C8" s="1489" t="s">
        <v>966</v>
      </c>
      <c r="D8" s="1490" t="s">
        <v>976</v>
      </c>
      <c r="E8" s="1491">
        <v>5</v>
      </c>
      <c r="F8" s="1492" t="s">
        <v>963</v>
      </c>
      <c r="G8" s="1492">
        <v>5</v>
      </c>
      <c r="H8" s="1493">
        <f t="shared" si="3"/>
      </c>
      <c r="I8" s="1483"/>
      <c r="K8" s="1502"/>
    </row>
    <row customHeight="true" hidden="true" ht="61" r="9">
      <c r="A9" s="1489"/>
      <c r="B9" s="1503"/>
      <c r="C9" s="1489"/>
      <c r="D9" s="1490"/>
      <c r="E9" s="1491"/>
      <c r="F9" s="1492"/>
      <c r="G9" s="1492"/>
      <c r="H9" s="1493">
        <f t="shared" si="3"/>
      </c>
      <c r="I9" s="1504"/>
      <c r="K9" s="1502"/>
    </row>
    <row customHeight="true" hidden="true" ht="70" r="10">
      <c r="A10" s="1489"/>
      <c r="B10" s="1503"/>
      <c r="C10" s="1489"/>
      <c r="D10" s="1490"/>
      <c r="E10" s="1491"/>
      <c r="F10" s="1492"/>
      <c r="G10" s="1492"/>
      <c r="H10" s="1493">
        <f t="shared" si="3"/>
      </c>
      <c r="I10" s="1504"/>
      <c r="K10" s="1502"/>
    </row>
    <row customHeight="true" hidden="true" ht="50" r="11">
      <c r="A11" s="1489"/>
      <c r="B11" s="1503"/>
      <c r="C11" s="1489"/>
      <c r="D11" s="1490"/>
      <c r="E11" s="1491"/>
      <c r="F11" s="1492"/>
      <c r="G11" s="1492"/>
      <c r="H11" s="1493">
        <f t="shared" si="3"/>
      </c>
      <c r="I11" s="1504"/>
      <c r="K11" s="1502"/>
    </row>
    <row customHeight="true" hidden="true" ht="50" r="12">
      <c r="A12" s="1489"/>
      <c r="B12" s="1503"/>
      <c r="C12" s="1489"/>
      <c r="D12" s="1490"/>
      <c r="E12" s="1491"/>
      <c r="F12" s="1492"/>
      <c r="G12" s="1492"/>
      <c r="H12" s="1493">
        <f t="shared" si="3"/>
      </c>
      <c r="I12" s="1504"/>
      <c r="K12" s="1502"/>
    </row>
    <row customHeight="true" hidden="true" ht="50" r="13">
      <c r="A13" s="1489"/>
      <c r="B13" s="1503"/>
      <c r="C13" s="1489"/>
      <c r="D13" s="1490"/>
      <c r="E13" s="1491"/>
      <c r="F13" s="1492"/>
      <c r="G13" s="1492"/>
      <c r="H13" s="1493">
        <f t="shared" si="3"/>
      </c>
      <c r="I13" s="1504"/>
      <c r="K13" s="1502"/>
    </row>
    <row customHeight="true" hidden="true" ht="50" r="14">
      <c r="A14" s="1489"/>
      <c r="B14" s="1503"/>
      <c r="C14" s="1489"/>
      <c r="D14" s="1490"/>
      <c r="E14" s="1491"/>
      <c r="F14" s="1492"/>
      <c r="G14" s="1492"/>
      <c r="H14" s="1493">
        <f t="shared" si="3"/>
      </c>
      <c r="I14" s="1504"/>
      <c r="K14" s="1502"/>
    </row>
    <row customHeight="true" hidden="true" ht="50" r="15">
      <c r="A15" s="1489"/>
      <c r="B15" s="1503"/>
      <c r="C15" s="1489"/>
      <c r="D15" s="1490"/>
      <c r="E15" s="1491"/>
      <c r="F15" s="1492"/>
      <c r="G15" s="1492"/>
      <c r="H15" s="1493">
        <f t="shared" si="3"/>
      </c>
      <c r="I15" s="1504"/>
      <c r="K15" s="1502"/>
    </row>
    <row customHeight="true" hidden="true" ht="50" r="16">
      <c r="A16" s="1489"/>
      <c r="B16" s="1503"/>
      <c r="C16" s="1489"/>
      <c r="D16" s="1490"/>
      <c r="E16" s="1491"/>
      <c r="F16" s="1492"/>
      <c r="G16" s="1492"/>
      <c r="H16" s="1493">
        <f t="shared" si="3"/>
      </c>
      <c r="I16" s="1483"/>
      <c r="K16" s="1502"/>
    </row>
    <row customHeight="true" ht="16" r="17">
      <c r="A17" s="1489"/>
      <c r="B17" s="1503"/>
      <c r="C17" s="1505" t="s">
        <v>977</v>
      </c>
      <c r="D17" s="1505"/>
      <c r="E17" s="1506">
        <f>SUM(E7:E16)</f>
      </c>
      <c r="F17" s="1507"/>
      <c r="G17" s="1508"/>
      <c r="H17" s="1506">
        <f>SUM(H7:H16)</f>
      </c>
      <c r="I17" s="1509"/>
    </row>
    <row customHeight="true" ht="90" r="18">
      <c r="A18" s="1489"/>
      <c r="B18" s="1503" t="s">
        <v>978</v>
      </c>
      <c r="C18" s="1510" t="s">
        <v>979</v>
      </c>
      <c r="D18" s="1511" t="s">
        <v>980</v>
      </c>
      <c r="E18" s="1512">
        <v>5</v>
      </c>
      <c r="F18" s="1513" t="s">
        <v>981</v>
      </c>
      <c r="G18" s="1513">
        <v>3</v>
      </c>
      <c r="H18" s="1514">
        <f t="shared" ref="H18:H23" si="4">E18-G18</f>
      </c>
      <c r="I18" s="1483" t="s">
        <v>982</v>
      </c>
    </row>
    <row customHeight="true" ht="81" r="19">
      <c r="A19" s="1489"/>
      <c r="B19" s="1503"/>
      <c r="C19" s="1515" t="s">
        <v>983</v>
      </c>
      <c r="D19" s="1516" t="s">
        <v>984</v>
      </c>
      <c r="E19" s="1517">
        <v>5</v>
      </c>
      <c r="F19" s="1518" t="s">
        <v>981</v>
      </c>
      <c r="G19" s="1518">
        <v>5</v>
      </c>
      <c r="H19" s="1519">
        <f t="shared" si="4"/>
      </c>
      <c r="I19" s="1483"/>
    </row>
    <row customHeight="true" ht="44" r="20">
      <c r="A20" s="1489"/>
      <c r="B20" s="1503"/>
      <c r="C20" s="1520" t="s">
        <v>968</v>
      </c>
      <c r="D20" s="1521" t="s">
        <v>985</v>
      </c>
      <c r="E20" s="1522">
        <v>5</v>
      </c>
      <c r="F20" s="1523" t="s">
        <v>969</v>
      </c>
      <c r="G20" s="1524">
        <v>2</v>
      </c>
      <c r="H20" s="1525">
        <f t="shared" si="4"/>
      </c>
      <c r="I20" s="1483"/>
      <c r="J20" s="1483"/>
    </row>
    <row customHeight="true" ht="77" r="21">
      <c r="A21" s="1489"/>
      <c r="B21" s="1503"/>
      <c r="C21" s="1476" t="s">
        <v>986</v>
      </c>
      <c r="D21" s="1526" t="s">
        <v>987</v>
      </c>
      <c r="E21" s="1495">
        <v>5</v>
      </c>
      <c r="F21" s="1496" t="s">
        <v>967</v>
      </c>
      <c r="G21" s="1496">
        <v>5</v>
      </c>
      <c r="H21" s="1498">
        <f t="shared" si="4"/>
      </c>
      <c r="I21" s="1483"/>
    </row>
    <row customHeight="true" ht="75" r="22">
      <c r="A22" s="1489"/>
      <c r="B22" s="1503"/>
      <c r="C22" s="1489" t="s">
        <v>988</v>
      </c>
      <c r="D22" s="1527" t="s">
        <v>987</v>
      </c>
      <c r="E22" s="1491">
        <v>5</v>
      </c>
      <c r="F22" s="1492" t="s">
        <v>963</v>
      </c>
      <c r="G22" s="1492">
        <v>3</v>
      </c>
      <c r="H22" s="1491">
        <f t="shared" si="4"/>
      </c>
      <c r="I22" s="1509"/>
    </row>
    <row customHeight="true" ht="75" r="23">
      <c r="A23" s="1489"/>
      <c r="B23" s="1503"/>
      <c r="C23" s="1476" t="s">
        <v>989</v>
      </c>
      <c r="D23" s="1526" t="s">
        <v>987</v>
      </c>
      <c r="E23" s="1495">
        <v>5</v>
      </c>
      <c r="F23" s="1496" t="s">
        <v>963</v>
      </c>
      <c r="G23" s="1496">
        <v>5</v>
      </c>
      <c r="H23" s="1495">
        <f t="shared" si="4"/>
      </c>
      <c r="I23" s="1509"/>
    </row>
    <row customHeight="true" ht="16" r="24">
      <c r="A24" s="1489"/>
      <c r="B24" s="1503"/>
      <c r="C24" s="1505" t="s">
        <v>977</v>
      </c>
      <c r="D24" s="1505"/>
      <c r="E24" s="1506">
        <f>SUM(E18:E23)</f>
      </c>
      <c r="F24" s="1507"/>
      <c r="G24" s="1508"/>
      <c r="H24" s="1506">
        <f>SUM(H18:H23)</f>
      </c>
      <c r="I24" s="1509"/>
    </row>
    <row customHeight="true" ht="76" r="25">
      <c r="A25" s="1489"/>
      <c r="B25" s="1477" t="s">
        <v>990</v>
      </c>
      <c r="C25" s="1528" t="s">
        <v>991</v>
      </c>
      <c r="D25" s="1529" t="s">
        <v>987</v>
      </c>
      <c r="E25" s="1530">
        <v>5</v>
      </c>
      <c r="F25" s="1531" t="s">
        <v>967</v>
      </c>
      <c r="G25" s="1531">
        <v>5</v>
      </c>
      <c r="H25" s="1532">
        <f t="shared" ref="H25:H33" si="5">E25-G25</f>
      </c>
      <c r="J25" s="1509"/>
    </row>
    <row customHeight="true" ht="67" r="26">
      <c r="A26" s="1489"/>
      <c r="B26" s="1477"/>
      <c r="C26" s="1476" t="s">
        <v>992</v>
      </c>
      <c r="D26" s="1526" t="s">
        <v>993</v>
      </c>
      <c r="E26" s="1495">
        <v>5</v>
      </c>
      <c r="F26" s="1496" t="s">
        <v>994</v>
      </c>
      <c r="G26" s="1496">
        <v>3</v>
      </c>
      <c r="H26" s="1533">
        <f t="shared" si="5"/>
      </c>
      <c r="I26" s="1483" t="s">
        <v>995</v>
      </c>
      <c r="J26" s="1509"/>
    </row>
    <row customHeight="true" ht="56" r="27">
      <c r="A27" s="1489"/>
      <c r="B27" s="1477"/>
      <c r="C27" s="1515" t="s">
        <v>996</v>
      </c>
      <c r="D27" s="1534" t="s">
        <v>987</v>
      </c>
      <c r="E27" s="1517">
        <v>5</v>
      </c>
      <c r="F27" s="1518" t="s">
        <v>981</v>
      </c>
      <c r="G27" s="1518">
        <v>4</v>
      </c>
      <c r="H27" s="1535">
        <f t="shared" si="5"/>
      </c>
      <c r="I27" s="1509"/>
      <c r="J27" s="1483"/>
    </row>
    <row customHeight="true" ht="53" r="28">
      <c r="A28" s="1489"/>
      <c r="B28" s="1477"/>
      <c r="C28" s="1536" t="s">
        <v>997</v>
      </c>
      <c r="D28" s="1537" t="s">
        <v>998</v>
      </c>
      <c r="E28" s="1538">
        <v>5</v>
      </c>
      <c r="F28" s="1539" t="s">
        <v>975</v>
      </c>
      <c r="G28" s="1539"/>
      <c r="H28" s="1540">
        <f t="shared" si="5"/>
      </c>
      <c r="I28" s="1483"/>
      <c r="J28" s="1509"/>
    </row>
    <row customHeight="true" ht="57" r="29">
      <c r="A29" s="1489"/>
      <c r="B29" s="1477"/>
      <c r="C29" s="1541" t="s">
        <v>999</v>
      </c>
      <c r="D29" s="1542" t="s">
        <v>987</v>
      </c>
      <c r="E29" s="1543">
        <v>5</v>
      </c>
      <c r="F29" s="1544" t="s">
        <v>975</v>
      </c>
      <c r="G29" s="1544">
        <v>5</v>
      </c>
      <c r="H29" s="1545">
        <f t="shared" si="5"/>
      </c>
      <c r="I29" s="1483"/>
      <c r="J29" s="1483" t="s">
        <v>1000</v>
      </c>
    </row>
    <row customHeight="true" ht="88" r="30">
      <c r="A30" s="1489"/>
      <c r="B30" s="1477"/>
      <c r="C30" s="1510" t="s">
        <v>1001</v>
      </c>
      <c r="D30" s="1546" t="s">
        <v>1002</v>
      </c>
      <c r="E30" s="1512">
        <v>5</v>
      </c>
      <c r="F30" s="1513" t="s">
        <v>994</v>
      </c>
      <c r="G30" s="1513">
        <v>5</v>
      </c>
      <c r="H30" s="1547">
        <f t="shared" si="5"/>
      </c>
      <c r="I30" s="1483"/>
      <c r="J30" s="1483"/>
    </row>
    <row customHeight="true" ht="55" r="31">
      <c r="A31" s="1489"/>
      <c r="B31" s="1477"/>
      <c r="C31" s="1478" t="s">
        <v>1003</v>
      </c>
      <c r="D31" s="1548" t="s">
        <v>987</v>
      </c>
      <c r="E31" s="1480">
        <v>5</v>
      </c>
      <c r="F31" s="1481" t="s">
        <v>975</v>
      </c>
      <c r="G31" s="1481"/>
      <c r="H31" s="1549">
        <f t="shared" si="5"/>
      </c>
      <c r="I31" s="1550" t="s">
        <v>1004</v>
      </c>
      <c r="J31" s="1483"/>
    </row>
    <row customHeight="true" ht="49" r="32">
      <c r="A32" s="1489"/>
      <c r="B32" s="1477"/>
      <c r="C32" s="1484" t="s">
        <v>1005</v>
      </c>
      <c r="D32" s="1551" t="s">
        <v>980</v>
      </c>
      <c r="E32" s="1486">
        <v>5</v>
      </c>
      <c r="F32" s="1487" t="s">
        <v>975</v>
      </c>
      <c r="G32" s="1487">
        <v>5</v>
      </c>
      <c r="H32" s="1552">
        <f t="shared" si="5"/>
      </c>
      <c r="I32" s="1483" t="s">
        <v>1006</v>
      </c>
      <c r="J32" s="1483"/>
    </row>
    <row customHeight="true" ht="57" r="33">
      <c r="A33" s="1489"/>
      <c r="B33" s="1477"/>
      <c r="C33" s="1553" t="s">
        <v>1007</v>
      </c>
      <c r="D33" s="1554" t="s">
        <v>987</v>
      </c>
      <c r="E33" s="1555">
        <v>5</v>
      </c>
      <c r="F33" s="1556" t="s">
        <v>981</v>
      </c>
      <c r="G33" s="1556">
        <v>5</v>
      </c>
      <c r="H33" s="1555">
        <f t="shared" si="5"/>
      </c>
      <c r="I33" s="1483" t="s">
        <v>1006</v>
      </c>
      <c r="J33" s="1509"/>
    </row>
    <row customHeight="true" ht="15" r="34">
      <c r="A34" s="1489"/>
      <c r="B34" s="1477"/>
      <c r="C34" s="1557" t="s">
        <v>977</v>
      </c>
      <c r="D34" s="1557"/>
      <c r="E34" s="1558">
        <f>SUM(E25:E33)</f>
      </c>
      <c r="F34" s="1559"/>
      <c r="G34" s="1560"/>
      <c r="H34" s="1558">
        <f>SUM(H25:H33)</f>
      </c>
      <c r="I34" s="1509"/>
      <c r="J34" s="1509"/>
    </row>
    <row customHeight="true" ht="78" r="35">
      <c r="A35" s="1489"/>
      <c r="B35" s="1503" t="s">
        <v>1008</v>
      </c>
      <c r="C35" s="1520" t="s">
        <v>1009</v>
      </c>
      <c r="D35" s="1521" t="s">
        <v>987</v>
      </c>
      <c r="E35" s="1522">
        <v>5</v>
      </c>
      <c r="F35" s="1523" t="s">
        <v>967</v>
      </c>
      <c r="G35" s="1523">
        <v>3</v>
      </c>
      <c r="H35" s="1525">
        <f t="shared" ref="H35:H39" si="6">E35-G35</f>
      </c>
      <c r="I35" s="1509"/>
    </row>
    <row customHeight="true" ht="79" r="36">
      <c r="A36" s="1489"/>
      <c r="B36" s="1503"/>
      <c r="C36" s="1561" t="s">
        <v>1010</v>
      </c>
      <c r="D36" s="1485" t="s">
        <v>1011</v>
      </c>
      <c r="E36" s="1562">
        <v>5</v>
      </c>
      <c r="F36" s="1563" t="s">
        <v>969</v>
      </c>
      <c r="G36" s="1564">
        <v>5</v>
      </c>
      <c r="H36" s="1552">
        <f t="shared" si="6"/>
      </c>
      <c r="I36" s="1509"/>
    </row>
    <row customHeight="true" ht="79" r="37">
      <c r="A37" s="1489"/>
      <c r="B37" s="1503"/>
      <c r="C37" s="1565" t="s">
        <v>1012</v>
      </c>
      <c r="D37" s="1490" t="s">
        <v>1013</v>
      </c>
      <c r="E37" s="1555">
        <v>5</v>
      </c>
      <c r="F37" s="1556" t="s">
        <v>981</v>
      </c>
      <c r="G37" s="1556">
        <v>2</v>
      </c>
      <c r="H37" s="1566">
        <f t="shared" si="6"/>
      </c>
      <c r="I37" s="1509"/>
    </row>
    <row customHeight="true" ht="60" r="38">
      <c r="A38" s="1489"/>
      <c r="B38" s="1503"/>
      <c r="C38" s="1567" t="s">
        <v>1014</v>
      </c>
      <c r="D38" s="1568" t="s">
        <v>1013</v>
      </c>
      <c r="E38" s="1569">
        <v>5</v>
      </c>
      <c r="F38" s="1570" t="s">
        <v>967</v>
      </c>
      <c r="G38" s="1570">
        <v>5</v>
      </c>
      <c r="H38" s="1533">
        <f t="shared" si="6"/>
      </c>
      <c r="I38" s="1509"/>
    </row>
    <row customHeight="true" ht="54" r="39">
      <c r="A39" s="1489"/>
      <c r="B39" s="1503"/>
      <c r="C39" s="1571" t="s">
        <v>1015</v>
      </c>
      <c r="D39" s="1572" t="s">
        <v>987</v>
      </c>
      <c r="E39" s="1573">
        <v>5</v>
      </c>
      <c r="F39" s="1574" t="s">
        <v>967</v>
      </c>
      <c r="G39" s="1575">
        <v>1</v>
      </c>
      <c r="H39" s="1535">
        <f t="shared" si="6"/>
      </c>
      <c r="I39" s="1509"/>
    </row>
    <row customHeight="true" ht="13" r="40">
      <c r="A40" s="1489"/>
      <c r="B40" s="1503"/>
      <c r="C40" s="1557" t="s">
        <v>977</v>
      </c>
      <c r="D40" s="1557"/>
      <c r="E40" s="1558">
        <f>SUM(E35:E39)</f>
      </c>
      <c r="F40" s="1559"/>
      <c r="G40" s="1560"/>
      <c r="H40" s="1558">
        <f>SUM(H35:H39)</f>
      </c>
      <c r="I40" s="1509"/>
    </row>
    <row customHeight="true" ht="16" r="41">
      <c r="A41" s="1499" t="s">
        <v>970</v>
      </c>
      <c r="B41" s="1499"/>
      <c r="C41" s="1499"/>
      <c r="D41" s="1499"/>
      <c r="E41" s="1500">
        <f>SUM(E17,E24,E34,E40)</f>
      </c>
      <c r="F41" s="1501"/>
      <c r="G41" s="1576"/>
      <c r="H41" s="1500">
        <f>SUM(H17,H24,H34,H40)</f>
      </c>
      <c r="I41" s="1509"/>
      <c r="J41" s="1483"/>
    </row>
    <row customHeight="true" ht="38" r="42">
      <c r="A42" s="1510" t="s">
        <v>1016</v>
      </c>
      <c r="B42" s="1503" t="s">
        <v>1017</v>
      </c>
      <c r="C42" s="1484" t="s">
        <v>1018</v>
      </c>
      <c r="D42" s="1534" t="s">
        <v>1019</v>
      </c>
      <c r="E42" s="1517">
        <v>8</v>
      </c>
      <c r="F42" s="1518" t="s">
        <v>994</v>
      </c>
      <c r="G42" s="1518">
        <v>1</v>
      </c>
      <c r="H42" s="1535">
        <f t="shared" ref="H42:H45" si="7">E42-G42</f>
      </c>
      <c r="I42" s="1504" t="s">
        <v>1020</v>
      </c>
      <c r="J42" s="1577" t="s">
        <v>1021</v>
      </c>
    </row>
    <row customHeight="true" ht="43" r="43">
      <c r="A43" s="1510"/>
      <c r="B43" s="1503"/>
      <c r="C43" s="1484"/>
      <c r="D43" s="1534"/>
      <c r="E43" s="1495">
        <v>5</v>
      </c>
      <c r="F43" s="1496" t="s">
        <v>981</v>
      </c>
      <c r="G43" s="1496">
        <v>5</v>
      </c>
      <c r="H43" s="1533">
        <f t="shared" si="7"/>
      </c>
      <c r="I43" s="1504"/>
    </row>
    <row customHeight="true" ht="41" r="44">
      <c r="A44" s="1510"/>
      <c r="B44" s="1503"/>
      <c r="C44" s="1484"/>
      <c r="D44" s="1534"/>
      <c r="E44" s="1573">
        <v>7</v>
      </c>
      <c r="F44" s="1574" t="s">
        <v>967</v>
      </c>
      <c r="G44" s="1574">
        <v>7</v>
      </c>
      <c r="H44" s="1535">
        <f t="shared" si="7"/>
      </c>
      <c r="I44" s="1504"/>
    </row>
    <row customHeight="true" ht="41" r="45">
      <c r="A45" s="1510"/>
      <c r="B45" s="1503"/>
      <c r="C45" s="1484"/>
      <c r="D45" s="1534"/>
      <c r="E45" s="1578">
        <v>10</v>
      </c>
      <c r="F45" s="1579" t="s">
        <v>975</v>
      </c>
      <c r="G45" s="1579"/>
      <c r="H45" s="1547">
        <f t="shared" si="7"/>
      </c>
      <c r="I45" s="1504"/>
      <c r="J45" s="1483"/>
    </row>
    <row customHeight="true" ht="41" r="46">
      <c r="A46" s="1510"/>
      <c r="B46" s="1503"/>
      <c r="C46" s="1484"/>
      <c r="D46" s="1534"/>
      <c r="E46" s="1580">
        <v>5</v>
      </c>
      <c r="F46" s="1581" t="s">
        <v>969</v>
      </c>
      <c r="G46" s="1581"/>
      <c r="H46" s="1532"/>
      <c r="I46" s="1504"/>
      <c r="J46" s="1483"/>
    </row>
    <row customHeight="true" ht="41" r="47">
      <c r="A47" s="1510"/>
      <c r="B47" s="1503"/>
      <c r="C47" s="1484"/>
      <c r="D47" s="1534"/>
      <c r="E47" s="1562">
        <v>5</v>
      </c>
      <c r="F47" s="1563" t="s">
        <v>963</v>
      </c>
      <c r="G47" s="1563"/>
      <c r="H47" s="1552"/>
      <c r="I47" s="1504"/>
      <c r="J47" s="1483"/>
    </row>
    <row customHeight="true" ht="16" r="48">
      <c r="A48" s="1510"/>
      <c r="B48" s="1503"/>
      <c r="C48" s="1557" t="s">
        <v>977</v>
      </c>
      <c r="D48" s="1557"/>
      <c r="E48" s="1558">
        <f>SUM(E42:E47)</f>
      </c>
      <c r="F48" s="1559"/>
      <c r="G48" s="1560"/>
      <c r="H48" s="1558">
        <f>SUM(H42:H45)</f>
      </c>
    </row>
    <row customHeight="true" ht="16" r="49">
      <c r="A49" s="1499" t="s">
        <v>970</v>
      </c>
      <c r="B49" s="1499"/>
      <c r="C49" s="1499"/>
      <c r="D49" s="1499"/>
      <c r="E49" s="1500">
        <f>SUM(E48)</f>
      </c>
      <c r="F49" s="1501"/>
      <c r="G49" s="1576"/>
      <c r="H49" s="1500">
        <f>SUM(H48)</f>
      </c>
      <c r="I49" s="1509"/>
    </row>
    <row customHeight="true" ht="100" r="50">
      <c r="A50" s="1541" t="s">
        <v>1022</v>
      </c>
      <c r="B50" s="1503" t="s">
        <v>1023</v>
      </c>
      <c r="C50" s="1541" t="s">
        <v>1024</v>
      </c>
      <c r="D50" s="1542" t="s">
        <v>1025</v>
      </c>
      <c r="E50" s="1543">
        <v>10</v>
      </c>
      <c r="F50" s="1544"/>
      <c r="G50" s="1544"/>
      <c r="H50" s="1545">
        <f>E50-G50</f>
      </c>
      <c r="I50" s="1509"/>
      <c r="J50" s="1509"/>
    </row>
    <row customHeight="true" ht="17" r="51">
      <c r="A51" s="1499" t="s">
        <v>970</v>
      </c>
      <c r="B51" s="1499"/>
      <c r="C51" s="1499"/>
      <c r="D51" s="1499"/>
      <c r="E51" s="1500">
        <f>SUM(E50)</f>
      </c>
      <c r="F51" s="1501"/>
      <c r="G51" s="1576"/>
      <c r="H51" s="1500">
        <f>SUM(H50)</f>
      </c>
      <c r="I51" s="1509"/>
      <c r="J51" s="1509"/>
    </row>
    <row customHeight="true" ht="16" r="52">
      <c r="A52" s="1500" t="s">
        <v>977</v>
      </c>
      <c r="B52" s="1500"/>
      <c r="C52" s="1500"/>
      <c r="D52" s="1500"/>
      <c r="E52" s="1500">
        <f>SUM(E6,E41,E49,E51)</f>
      </c>
      <c r="F52" s="1501"/>
      <c r="G52" s="1582"/>
      <c r="H52" s="1500">
        <f>SUM(H6,H41,H49,H51)</f>
      </c>
      <c r="I52" s="1483"/>
      <c r="J52" s="1509"/>
    </row>
    <row customHeight="true" ht="16" r="53">
      <c r="B53" s="1509"/>
      <c r="C53" s="1509"/>
      <c r="D53" s="1509"/>
      <c r="E53" s="1509"/>
      <c r="F53" s="1483"/>
      <c r="G53" s="1483"/>
      <c r="H53" s="1483"/>
      <c r="I53" s="1509"/>
      <c r="J53" s="1509"/>
    </row>
    <row customHeight="true" ht="16" r="54">
      <c r="B54" s="1509"/>
      <c r="C54" s="1509"/>
      <c r="D54" s="1509"/>
      <c r="E54" s="1509"/>
      <c r="F54" s="1483"/>
      <c r="G54" s="1483"/>
      <c r="H54" s="1483"/>
      <c r="I54" s="1509"/>
      <c r="J54" s="1483"/>
      <c r="K54" s="1483"/>
      <c r="L54" s="1483"/>
      <c r="M54" s="1483"/>
      <c r="N54" s="1483"/>
      <c r="O54" s="1483"/>
      <c r="P54" s="1483"/>
    </row>
    <row r="55">
      <c r="D55" s="1509"/>
      <c r="E55" s="1508" t="s">
        <v>1026</v>
      </c>
      <c r="F55" s="1583" t="s">
        <v>954</v>
      </c>
      <c r="G55" s="1583" t="s">
        <v>1027</v>
      </c>
      <c r="H55" s="1583" t="s">
        <v>957</v>
      </c>
      <c r="I55" s="1483"/>
      <c r="J55" s="1483"/>
      <c r="M55" s="1483"/>
    </row>
    <row r="56">
      <c r="D56" s="1509"/>
      <c r="E56" s="1584" t="s">
        <v>1028</v>
      </c>
      <c r="F56" s="1585">
        <f>SUMIF(F2:F52,"Huyền",E2:E52)</f>
      </c>
      <c r="G56" s="1585">
        <f>SUMIF(F2:F52,"Huyền",G2:G52)</f>
      </c>
      <c r="H56" s="1585">
        <f t="shared" ref="H56:H63" si="8">F56-G56</f>
      </c>
      <c r="I56" s="1483"/>
      <c r="J56" s="1483"/>
    </row>
    <row r="57">
      <c r="D57" s="1483"/>
      <c r="E57" s="1583" t="s">
        <v>981</v>
      </c>
      <c r="F57" s="1508">
        <f>SUMIF(F2:F52,"Hoa",E2:E52)</f>
      </c>
      <c r="G57" s="1585">
        <f>SUMIF(F2:F52,"Hoa",G2:G52)</f>
      </c>
      <c r="H57" s="1508">
        <f t="shared" si="8"/>
      </c>
      <c r="I57" s="1483"/>
      <c r="J57" s="1483"/>
      <c r="K57" s="1483" t="s">
        <v>1029</v>
      </c>
      <c r="L57" s="1483" t="s">
        <v>1030</v>
      </c>
      <c r="M57" s="1483" t="s">
        <v>1031</v>
      </c>
      <c r="N57" s="1483" t="s">
        <v>1032</v>
      </c>
      <c r="O57" s="1483" t="s">
        <v>994</v>
      </c>
      <c r="P57" s="1483" t="s">
        <v>1033</v>
      </c>
      <c r="Q57" s="1483" t="s">
        <v>981</v>
      </c>
      <c r="R57" s="1483" t="s">
        <v>1034</v>
      </c>
      <c r="S57" s="1483" t="s">
        <v>975</v>
      </c>
      <c r="T57" s="1483" t="s">
        <v>970</v>
      </c>
      <c r="U57" s="1483"/>
      <c r="V57" s="1483"/>
    </row>
    <row r="58">
      <c r="D58" s="1483"/>
      <c r="E58" s="1508" t="s">
        <v>967</v>
      </c>
      <c r="F58" s="1560">
        <f>SUMIF(F2:F52,"Thúy",E2:E52)</f>
      </c>
      <c r="G58" s="1585">
        <f>SUMIF(F2:F52,"Thúy",G2:G52)</f>
      </c>
      <c r="H58" s="1508">
        <f t="shared" si="8"/>
      </c>
      <c r="I58" s="1483"/>
      <c r="J58" s="1483" t="s">
        <v>1035</v>
      </c>
      <c r="K58" s="1483">
        <v>25</v>
      </c>
      <c r="L58" s="1483">
        <v>20</v>
      </c>
      <c r="M58" s="1483"/>
      <c r="N58" s="1483">
        <v>15</v>
      </c>
      <c r="O58" s="1483"/>
      <c r="P58" s="1483"/>
      <c r="T58">
        <f t="shared" ref="T58:T63" si="0">SUM(K58:S58)</f>
      </c>
    </row>
    <row r="59">
      <c r="D59" s="1483"/>
      <c r="E59" s="1583" t="s">
        <v>975</v>
      </c>
      <c r="F59" s="1586">
        <f>SUMIF(F2:F52,"Ngân",E2:E52)</f>
      </c>
      <c r="G59" s="1587">
        <f>SUMIF(F2:F52,"Ngân",G2:G52)</f>
      </c>
      <c r="H59" s="1588">
        <f t="shared" si="8"/>
      </c>
      <c r="I59" s="1483"/>
      <c r="J59" s="1483" t="s">
        <v>1036</v>
      </c>
      <c r="L59" s="1483"/>
      <c r="N59" s="1483">
        <v>15</v>
      </c>
      <c r="O59" s="1483">
        <v>15</v>
      </c>
      <c r="P59" s="1483"/>
      <c r="T59">
        <f t="shared" si="0"/>
      </c>
    </row>
    <row customHeight="true" ht="16" r="60">
      <c r="D60" s="1509"/>
      <c r="E60" s="1589" t="s">
        <v>963</v>
      </c>
      <c r="F60" s="1590">
        <f>SUMIF(F2:F52,"Bích",E2:E52)</f>
      </c>
      <c r="G60" s="1591">
        <f>SUMIF(F3:F52,"Bích",G3:G52)</f>
      </c>
      <c r="H60" s="1592">
        <f t="shared" si="8"/>
      </c>
      <c r="I60" s="1483"/>
      <c r="J60" s="1483" t="s">
        <v>1037</v>
      </c>
      <c r="M60" s="1483">
        <v>5</v>
      </c>
      <c r="Q60" s="1483">
        <v>5</v>
      </c>
      <c r="T60">
        <f t="shared" si="0"/>
      </c>
    </row>
    <row customHeight="true" ht="16" r="61">
      <c r="D61" s="1509"/>
      <c r="E61" s="1593" t="s">
        <v>969</v>
      </c>
      <c r="F61" s="1594">
        <f>SUMIF(F3:F52,"Phương",E3:E52)</f>
      </c>
      <c r="G61" s="1594">
        <f t="shared" ref="G61:G62" si="9">SUMIF(F4:F52,"Phương",G4:G52)</f>
      </c>
      <c r="H61" s="1595">
        <f t="shared" si="8"/>
      </c>
      <c r="I61" s="1483"/>
      <c r="J61" s="1483" t="s">
        <v>1038</v>
      </c>
      <c r="K61" s="1483">
        <v>10</v>
      </c>
      <c r="L61" s="1483"/>
      <c r="T61">
        <f t="shared" si="0"/>
      </c>
    </row>
    <row r="62">
      <c r="D62" s="1509"/>
      <c r="E62" s="1593" t="s">
        <v>994</v>
      </c>
      <c r="F62" s="1594">
        <f>SUMIF(F4:F53,"Mai",E4:E53)</f>
      </c>
      <c r="G62" s="1594">
        <f t="shared" si="9"/>
      </c>
      <c r="H62" s="1595">
        <f t="shared" si="8"/>
      </c>
      <c r="I62" s="1483"/>
      <c r="J62" s="1483" t="s">
        <v>1039</v>
      </c>
      <c r="M62" s="1483">
        <v>30</v>
      </c>
      <c r="O62" s="1483">
        <v>20</v>
      </c>
      <c r="P62" s="1483">
        <v>35</v>
      </c>
      <c r="Q62" s="1483">
        <v>30</v>
      </c>
      <c r="R62" s="1483">
        <v>20</v>
      </c>
      <c r="S62" s="1483">
        <v>35</v>
      </c>
      <c r="T62">
        <f t="shared" si="0"/>
      </c>
    </row>
    <row r="63">
      <c r="D63" s="1483"/>
      <c r="E63" s="1596" t="s">
        <v>977</v>
      </c>
      <c r="F63" s="1597">
        <f>SUM(F56:F62)</f>
      </c>
      <c r="G63" s="1597">
        <f>SUM(G56:G62)</f>
      </c>
      <c r="H63" s="1597">
        <f t="shared" si="8"/>
      </c>
      <c r="I63" s="1483"/>
      <c r="J63" s="1483" t="s">
        <v>970</v>
      </c>
      <c r="K63">
        <f>SUM(K58:K62)</f>
      </c>
      <c r="L63">
        <f>SUM(L58:L62)</f>
      </c>
      <c r="M63">
        <f>SUM(M58:M62)</f>
      </c>
      <c r="N63">
        <f>SUM(N58:N62)</f>
      </c>
      <c r="O63">
        <f>SUM(O58:O62)</f>
      </c>
      <c r="P63">
        <f>SUM(P58:P62)</f>
      </c>
      <c r="Q63">
        <f>SUM(Q58:Q62)</f>
      </c>
      <c r="R63">
        <f>SUM(R58:R62)</f>
      </c>
      <c r="S63">
        <f>SUM(S58:S62)</f>
      </c>
      <c r="T63">
        <f t="shared" si="0"/>
      </c>
    </row>
    <row r="64">
      <c r="F64" s="1509"/>
      <c r="G64" s="1509"/>
      <c r="H64" s="1509"/>
      <c r="I64" s="1483"/>
      <c r="L64" s="1483"/>
      <c r="N64" s="1483"/>
    </row>
    <row r="65">
      <c r="J65" s="1483"/>
      <c r="K65" s="1483" t="s">
        <v>1029</v>
      </c>
      <c r="L65" s="1504" t="s">
        <v>1030</v>
      </c>
      <c r="M65" s="1483" t="s">
        <v>1031</v>
      </c>
      <c r="N65" s="1483" t="s">
        <v>1032</v>
      </c>
      <c r="O65" s="1483" t="s">
        <v>994</v>
      </c>
      <c r="P65" s="1504" t="s">
        <v>1033</v>
      </c>
      <c r="Q65" s="1483" t="s">
        <v>981</v>
      </c>
      <c r="R65" s="1483" t="s">
        <v>1034</v>
      </c>
      <c r="S65" s="1483" t="s">
        <v>975</v>
      </c>
      <c r="T65" s="1483" t="s">
        <v>970</v>
      </c>
    </row>
    <row r="66">
      <c r="J66" s="1483" t="s">
        <v>1035</v>
      </c>
      <c r="K66" s="1483">
        <v>25</v>
      </c>
      <c r="L66" s="1483">
        <v>25</v>
      </c>
      <c r="M66" s="1483">
        <v>25</v>
      </c>
      <c r="N66" s="1483"/>
      <c r="O66" s="1483">
        <v>10</v>
      </c>
      <c r="P66" s="1483">
        <v>10</v>
      </c>
      <c r="T66">
        <f t="shared" ref="T66:T71" si="1">SUM(K66:S66)</f>
      </c>
    </row>
    <row r="67">
      <c r="J67" s="1483" t="s">
        <v>1036</v>
      </c>
      <c r="L67" s="1483"/>
      <c r="N67" s="1483"/>
      <c r="O67" s="1483">
        <v>25</v>
      </c>
      <c r="P67" s="1483"/>
      <c r="S67" s="1483">
        <v>25</v>
      </c>
      <c r="T67">
        <f t="shared" si="1"/>
      </c>
    </row>
    <row r="68">
      <c r="J68" s="1483" t="s">
        <v>1037</v>
      </c>
      <c r="M68" s="1483">
        <v>10</v>
      </c>
      <c r="Q68" s="1483"/>
      <c r="T68">
        <f t="shared" si="1"/>
      </c>
    </row>
    <row r="69">
      <c r="J69" s="1483" t="s">
        <v>1038</v>
      </c>
      <c r="K69" s="1483">
        <v>10</v>
      </c>
      <c r="L69" s="1483"/>
      <c r="T69">
        <f t="shared" si="1"/>
      </c>
    </row>
    <row r="70">
      <c r="J70" s="1483" t="s">
        <v>1039</v>
      </c>
      <c r="M70" s="1483"/>
      <c r="O70" s="1483"/>
      <c r="P70" s="1483">
        <v>25</v>
      </c>
      <c r="Q70" s="1483">
        <v>35</v>
      </c>
      <c r="R70" s="1483">
        <v>25</v>
      </c>
      <c r="S70" s="1483">
        <v>10</v>
      </c>
      <c r="T70">
        <f t="shared" si="1"/>
      </c>
    </row>
    <row r="71">
      <c r="J71" s="1483" t="s">
        <v>970</v>
      </c>
      <c r="K71">
        <f>SUM(K66:K70)</f>
      </c>
      <c r="L71">
        <f>SUM(L66:L70)</f>
      </c>
      <c r="M71">
        <f>SUM(M66:M70)</f>
      </c>
      <c r="N71">
        <f>SUM(N66:N70)</f>
      </c>
      <c r="O71">
        <f>SUM(O66:O70)</f>
      </c>
      <c r="P71">
        <f>SUM(P66:P70)</f>
      </c>
      <c r="Q71">
        <f>SUM(Q67:Q70)</f>
      </c>
      <c r="R71">
        <f>SUM(R66:R70)</f>
      </c>
      <c r="S71">
        <f>SUM(S66:S70)</f>
      </c>
      <c r="T71">
        <f t="shared" si="1"/>
      </c>
    </row>
  </sheetData>
  <mergeCells>
    <mergeCell ref="B18:B22"/>
    <mergeCell ref="B7:B8"/>
    <mergeCell ref="A6:D6"/>
    <mergeCell ref="C17:D17"/>
    <mergeCell ref="I10:I15"/>
    <mergeCell ref="I2:I4"/>
    <mergeCell ref="B2:B4"/>
    <mergeCell ref="A2:A4"/>
    <mergeCell ref="A7:A40"/>
    <mergeCell ref="A41:D41"/>
    <mergeCell ref="C40:D40"/>
    <mergeCell ref="C24:D24"/>
    <mergeCell ref="C34:D34"/>
    <mergeCell ref="A42:A48"/>
    <mergeCell ref="C48:D48"/>
    <mergeCell ref="A49:D49"/>
    <mergeCell ref="A51:D51"/>
    <mergeCell ref="A52:D52"/>
    <mergeCell ref="B42:B48"/>
    <mergeCell ref="D42:D47"/>
    <mergeCell ref="C42:C47"/>
    <mergeCell ref="I42:I47"/>
  </mergeCells>
  <picture r:id="rId1"/>
</worksheet>
</file>

<file path=xl/worksheets/sheet1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21" min="21" style="0" width="11"/>
    <col collapsed="false" customWidth="true" hidden="false" max="4" min="4" style="0" width="29"/>
    <col collapsed="false" customWidth="true" hidden="false" max="8" min="8" style="0" width="11"/>
    <col collapsed="false" customWidth="true" hidden="false" max="12" min="12" style="0" width="15"/>
    <col collapsed="false" customWidth="true" hidden="false" max="16" min="16" style="0" width="15"/>
    <col collapsed="false" customWidth="true" hidden="false" max="17" min="17" style="0" width="15"/>
    <col collapsed="false" customWidth="true" hidden="false" max="22" min="22" style="0" width="11"/>
    <col collapsed="false" customWidth="true" hidden="false" max="1" min="1" style="0" width="22"/>
    <col collapsed="false" customWidth="true" hidden="false" max="5" min="5" style="0" width="11"/>
    <col collapsed="false" customWidth="true" hidden="false" max="9" min="9" style="0" width="18"/>
    <col collapsed="false" customWidth="true" hidden="false" max="13" min="13" style="0" width="15"/>
    <col collapsed="false" customWidth="true" hidden="false" max="18" min="18" style="0" width="15"/>
    <col collapsed="false" customWidth="true" hidden="false" max="2" min="2" style="0" width="22"/>
    <col collapsed="false" customWidth="true" hidden="false" max="6" min="6" style="0" width="11"/>
    <col collapsed="false" customWidth="true" hidden="false" max="10" min="10" style="0" width="15"/>
    <col collapsed="false" customWidth="true" hidden="false" max="14" min="14" style="0" width="15"/>
    <col collapsed="false" customWidth="true" hidden="false" max="19" min="19" style="0" width="15"/>
    <col collapsed="false" customWidth="true" hidden="false" max="3" min="3" style="0" width="22"/>
    <col collapsed="false" customWidth="true" hidden="false" max="7" min="7" style="0" width="11"/>
    <col collapsed="false" customWidth="true" hidden="false" max="11" min="11" style="0" width="15"/>
    <col collapsed="false" customWidth="true" hidden="false" max="15" min="15" style="0" width="15"/>
  </cols>
  <sheetData>
    <row r="1">
      <c r="A1" s="1598" t="s">
        <v>1040</v>
      </c>
      <c r="B1" s="1598" t="s">
        <v>1041</v>
      </c>
      <c r="C1" s="1599" t="s">
        <v>1042</v>
      </c>
      <c r="D1" s="1598" t="s">
        <v>1043</v>
      </c>
      <c r="E1" s="1600" t="s">
        <v>1044</v>
      </c>
      <c r="F1" s="1601" t="s">
        <v>1045</v>
      </c>
      <c r="G1" s="1598" t="s">
        <v>1046</v>
      </c>
      <c r="H1" s="1598" t="s">
        <v>1047</v>
      </c>
      <c r="I1" s="1602" t="s">
        <v>1048</v>
      </c>
      <c r="J1" s="1603"/>
    </row>
    <row customHeight="true" ht="24" r="2">
      <c r="A2" s="1604" t="s">
        <v>1049</v>
      </c>
      <c r="B2" s="1605" t="s">
        <v>1050</v>
      </c>
      <c r="C2" s="1606" t="s">
        <v>1051</v>
      </c>
      <c r="D2" s="1607" t="s">
        <v>1052</v>
      </c>
      <c r="E2" s="1608">
        <v>5</v>
      </c>
      <c r="F2" s="1609" t="s">
        <v>1053</v>
      </c>
      <c r="G2" s="1610">
        <v>5</v>
      </c>
      <c r="H2" s="1611">
        <f t="shared" ref="H2:H5" si="1">E2-G2</f>
      </c>
      <c r="I2" s="1612" t="s">
        <v>1054</v>
      </c>
    </row>
    <row customHeight="true" ht="20" r="3">
      <c r="A3" s="1604"/>
      <c r="B3" s="1605"/>
      <c r="C3" s="1613" t="s">
        <v>1055</v>
      </c>
      <c r="D3" s="1614" t="s">
        <v>1052</v>
      </c>
      <c r="E3" s="1615">
        <v>5</v>
      </c>
      <c r="F3" s="1616" t="s">
        <v>1056</v>
      </c>
      <c r="G3" s="1617">
        <v>4</v>
      </c>
      <c r="H3" s="1618">
        <f t="shared" si="1"/>
      </c>
      <c r="I3" s="1612"/>
    </row>
    <row customHeight="true" ht="112" r="4">
      <c r="A4" s="1604"/>
      <c r="B4" s="1605"/>
      <c r="C4" s="1619" t="s">
        <v>1057</v>
      </c>
      <c r="D4" s="1620" t="s">
        <v>1052</v>
      </c>
      <c r="E4" s="1621">
        <v>5</v>
      </c>
      <c r="F4" s="1622" t="s">
        <v>1058</v>
      </c>
      <c r="G4" s="1623">
        <v>5</v>
      </c>
      <c r="H4" s="1624">
        <f t="shared" si="1"/>
      </c>
      <c r="I4" s="1612"/>
    </row>
    <row customHeight="true" ht="20" r="5">
      <c r="A5" s="1604"/>
      <c r="B5" s="1605"/>
      <c r="C5" s="1604" t="s">
        <v>1059</v>
      </c>
      <c r="D5" s="1625" t="s">
        <v>1052</v>
      </c>
      <c r="E5" s="1626">
        <v>5</v>
      </c>
      <c r="F5" s="1627" t="s">
        <v>1060</v>
      </c>
      <c r="G5" s="1628">
        <v>3</v>
      </c>
      <c r="H5" s="1629">
        <f t="shared" si="1"/>
      </c>
      <c r="I5" s="1612"/>
    </row>
    <row customHeight="true" ht="16" r="6">
      <c r="A6" s="1630" t="s">
        <v>1061</v>
      </c>
      <c r="B6" s="1630"/>
      <c r="C6" s="1630"/>
      <c r="D6" s="1630"/>
      <c r="E6" s="1631">
        <f>SUM(E2:E5)</f>
      </c>
      <c r="F6" s="1632"/>
      <c r="G6" s="1632"/>
      <c r="H6" s="1631">
        <f>SUM(H2:H5)</f>
      </c>
      <c r="I6" s="1612"/>
      <c r="K6" s="1633"/>
    </row>
    <row r="7">
      <c r="A7" s="1619" t="s">
        <v>1062</v>
      </c>
      <c r="B7" s="1634" t="s">
        <v>1063</v>
      </c>
      <c r="C7" s="1619" t="s">
        <v>1064</v>
      </c>
      <c r="D7" s="1620" t="s">
        <v>1065</v>
      </c>
      <c r="E7" s="1621">
        <v>4</v>
      </c>
      <c r="F7" s="1622" t="s">
        <v>1058</v>
      </c>
      <c r="G7" s="1622">
        <v>5</v>
      </c>
      <c r="H7" s="1624">
        <f t="shared" ref="H7:H16" si="2">E7-G7</f>
      </c>
      <c r="I7" s="1612"/>
      <c r="K7" s="1633"/>
    </row>
    <row customHeight="true" ht="81" r="8">
      <c r="A8" s="1619"/>
      <c r="B8" s="1634"/>
      <c r="C8" s="1619" t="s">
        <v>1066</v>
      </c>
      <c r="D8" s="1620" t="s">
        <v>1067</v>
      </c>
      <c r="E8" s="1621">
        <v>2</v>
      </c>
      <c r="F8" s="1622" t="s">
        <v>1068</v>
      </c>
      <c r="G8" s="1622"/>
      <c r="H8" s="1624">
        <f t="shared" si="2"/>
      </c>
      <c r="I8" s="1635" t="s">
        <v>1069</v>
      </c>
      <c r="K8" s="1633"/>
    </row>
    <row customHeight="true" ht="61" r="9">
      <c r="A9" s="1619"/>
      <c r="B9" s="1634"/>
      <c r="C9" s="1636" t="s">
        <v>1070</v>
      </c>
      <c r="D9" s="1620" t="s">
        <v>1071</v>
      </c>
      <c r="E9" s="1621">
        <v>3</v>
      </c>
      <c r="F9" s="1622" t="s">
        <v>1056</v>
      </c>
      <c r="G9" s="1623">
        <v>3</v>
      </c>
      <c r="H9" s="1624">
        <f t="shared" si="2"/>
      </c>
      <c r="I9" s="1637"/>
      <c r="K9" s="1633"/>
    </row>
    <row customHeight="true" hidden="true" ht="70" r="10">
      <c r="A10" s="1619"/>
      <c r="B10" s="1634"/>
      <c r="C10" s="1619"/>
      <c r="D10" s="1620"/>
      <c r="E10" s="1621"/>
      <c r="F10" s="1622"/>
      <c r="G10" s="1622"/>
      <c r="H10" s="1624">
        <f t="shared" si="2"/>
      </c>
      <c r="I10" s="1637"/>
      <c r="K10" s="1633"/>
    </row>
    <row customHeight="true" hidden="true" ht="50" r="11">
      <c r="A11" s="1619"/>
      <c r="B11" s="1634"/>
      <c r="C11" s="1619"/>
      <c r="D11" s="1620"/>
      <c r="E11" s="1621"/>
      <c r="F11" s="1622"/>
      <c r="G11" s="1622"/>
      <c r="H11" s="1624">
        <f t="shared" si="2"/>
      </c>
      <c r="I11" s="1637"/>
      <c r="K11" s="1633"/>
    </row>
    <row customHeight="true" hidden="true" ht="50" r="12">
      <c r="A12" s="1619"/>
      <c r="B12" s="1634"/>
      <c r="C12" s="1619"/>
      <c r="D12" s="1620"/>
      <c r="E12" s="1621"/>
      <c r="F12" s="1622"/>
      <c r="G12" s="1622"/>
      <c r="H12" s="1624">
        <f t="shared" si="2"/>
      </c>
      <c r="I12" s="1637"/>
      <c r="K12" s="1633"/>
    </row>
    <row customHeight="true" hidden="true" ht="50" r="13">
      <c r="A13" s="1619"/>
      <c r="B13" s="1634"/>
      <c r="C13" s="1619"/>
      <c r="D13" s="1620"/>
      <c r="E13" s="1621"/>
      <c r="F13" s="1622"/>
      <c r="G13" s="1622"/>
      <c r="H13" s="1624">
        <f t="shared" si="2"/>
      </c>
      <c r="I13" s="1637"/>
      <c r="K13" s="1633"/>
    </row>
    <row customHeight="true" hidden="true" ht="50" r="14">
      <c r="A14" s="1619"/>
      <c r="B14" s="1634"/>
      <c r="C14" s="1619"/>
      <c r="D14" s="1620"/>
      <c r="E14" s="1621"/>
      <c r="F14" s="1622"/>
      <c r="G14" s="1622"/>
      <c r="H14" s="1624">
        <f t="shared" si="2"/>
      </c>
      <c r="I14" s="1637"/>
      <c r="K14" s="1633"/>
    </row>
    <row customHeight="true" hidden="true" ht="50" r="15">
      <c r="A15" s="1619"/>
      <c r="B15" s="1634"/>
      <c r="C15" s="1619"/>
      <c r="D15" s="1620"/>
      <c r="E15" s="1621"/>
      <c r="F15" s="1622"/>
      <c r="G15" s="1622"/>
      <c r="H15" s="1624">
        <f t="shared" si="2"/>
      </c>
      <c r="I15" s="1637"/>
      <c r="K15" s="1633"/>
    </row>
    <row customHeight="true" hidden="true" ht="50" r="16">
      <c r="A16" s="1619"/>
      <c r="B16" s="1634"/>
      <c r="C16" s="1619"/>
      <c r="D16" s="1620"/>
      <c r="E16" s="1621"/>
      <c r="F16" s="1622"/>
      <c r="G16" s="1622"/>
      <c r="H16" s="1624">
        <f t="shared" si="2"/>
      </c>
      <c r="I16" s="1612"/>
      <c r="K16" s="1633"/>
    </row>
    <row customHeight="true" ht="16" r="17">
      <c r="A17" s="1619"/>
      <c r="B17" s="1634"/>
      <c r="C17" s="1638" t="s">
        <v>1072</v>
      </c>
      <c r="D17" s="1638"/>
      <c r="E17" s="1639">
        <f>SUM(E7:E16)</f>
      </c>
      <c r="F17" s="1640"/>
      <c r="G17" s="1641"/>
      <c r="H17" s="1639">
        <f>SUM(H7:H16)</f>
      </c>
      <c r="I17" s="1642"/>
    </row>
    <row customHeight="true" ht="90" r="18">
      <c r="A18" s="1619"/>
      <c r="B18" s="1634" t="s">
        <v>1073</v>
      </c>
      <c r="C18" s="1643" t="s">
        <v>1074</v>
      </c>
      <c r="D18" s="1644" t="s">
        <v>1075</v>
      </c>
      <c r="E18" s="1645">
        <v>4</v>
      </c>
      <c r="F18" s="1646" t="s">
        <v>1053</v>
      </c>
      <c r="G18" s="1647">
        <v>1</v>
      </c>
      <c r="H18" s="1648">
        <f t="shared" ref="H18:H23" si="3">E18-G18</f>
      </c>
      <c r="I18" s="1612" t="s">
        <v>1076</v>
      </c>
    </row>
    <row customHeight="true" ht="81" r="19">
      <c r="A19" s="1619"/>
      <c r="B19" s="1634"/>
      <c r="C19" s="1649" t="s">
        <v>1077</v>
      </c>
      <c r="D19" s="1650" t="s">
        <v>1078</v>
      </c>
      <c r="E19" s="1651">
        <v>4</v>
      </c>
      <c r="F19" s="1652" t="s">
        <v>1068</v>
      </c>
      <c r="G19" s="1653">
        <v>2</v>
      </c>
      <c r="H19" s="1654">
        <f t="shared" si="3"/>
      </c>
      <c r="I19" s="1612"/>
    </row>
    <row customHeight="true" hidden="true" ht="44" r="20">
      <c r="A20" s="1619"/>
      <c r="B20" s="1634"/>
      <c r="C20" s="1655"/>
      <c r="D20" s="1656"/>
      <c r="E20" s="1657"/>
      <c r="F20" s="1658"/>
      <c r="G20" s="1658"/>
      <c r="H20" s="1659">
        <f t="shared" si="3"/>
      </c>
      <c r="I20" s="1612"/>
      <c r="J20" s="1612"/>
    </row>
    <row customHeight="true" ht="77" r="21">
      <c r="A21" s="1619"/>
      <c r="B21" s="1634"/>
      <c r="C21" s="1604" t="s">
        <v>1079</v>
      </c>
      <c r="D21" s="1660" t="s">
        <v>1080</v>
      </c>
      <c r="E21" s="1626">
        <v>4</v>
      </c>
      <c r="F21" s="1627" t="s">
        <v>1058</v>
      </c>
      <c r="G21" s="1628">
        <v>3</v>
      </c>
      <c r="H21" s="1629">
        <f t="shared" si="3"/>
      </c>
      <c r="I21" s="1635" t="s">
        <v>1081</v>
      </c>
    </row>
    <row customHeight="true" ht="75" r="22">
      <c r="A22" s="1619"/>
      <c r="B22" s="1634"/>
      <c r="C22" s="1661" t="s">
        <v>1082</v>
      </c>
      <c r="D22" s="1662" t="s">
        <v>1083</v>
      </c>
      <c r="E22" s="1621">
        <v>4</v>
      </c>
      <c r="F22" s="1622" t="s">
        <v>1058</v>
      </c>
      <c r="G22" s="1623">
        <v>4</v>
      </c>
      <c r="H22" s="1621">
        <f t="shared" si="3"/>
      </c>
      <c r="I22" s="1635" t="s">
        <v>1084</v>
      </c>
    </row>
    <row customHeight="true" hidden="true" ht="75" r="23">
      <c r="A23" s="1619"/>
      <c r="B23" s="1634"/>
      <c r="C23" s="1604"/>
      <c r="D23" s="1660"/>
      <c r="E23" s="1626"/>
      <c r="F23" s="1627"/>
      <c r="G23" s="1627"/>
      <c r="H23" s="1626">
        <f t="shared" si="3"/>
      </c>
      <c r="I23" s="1642"/>
    </row>
    <row customHeight="true" ht="16" r="24">
      <c r="A24" s="1619"/>
      <c r="B24" s="1634"/>
      <c r="C24" s="1638" t="s">
        <v>1072</v>
      </c>
      <c r="D24" s="1638"/>
      <c r="E24" s="1639">
        <f>SUM(E18:E23)</f>
      </c>
      <c r="F24" s="1640"/>
      <c r="G24" s="1641"/>
      <c r="H24" s="1639">
        <f>SUM(H18:H23)</f>
      </c>
      <c r="I24" s="1642"/>
    </row>
    <row customHeight="true" ht="76" r="25">
      <c r="A25" s="1619"/>
      <c r="B25" s="1605" t="s">
        <v>1085</v>
      </c>
      <c r="C25" s="1663" t="s">
        <v>1086</v>
      </c>
      <c r="D25" s="1664" t="s">
        <v>1087</v>
      </c>
      <c r="E25" s="1665">
        <v>2</v>
      </c>
      <c r="F25" s="1666" t="s">
        <v>1058</v>
      </c>
      <c r="G25" s="1667">
        <v>2</v>
      </c>
      <c r="H25" s="1668">
        <f t="shared" ref="H25:H40" si="4">E25-G25</f>
      </c>
      <c r="I25" s="1635"/>
      <c r="J25" s="1642"/>
    </row>
    <row customHeight="true" ht="67" r="26">
      <c r="A26" s="1619"/>
      <c r="B26" s="1605"/>
      <c r="C26" s="1604" t="s">
        <v>1088</v>
      </c>
      <c r="D26" s="1660" t="s">
        <v>1089</v>
      </c>
      <c r="E26" s="1626">
        <v>3</v>
      </c>
      <c r="F26" s="1627" t="s">
        <v>1058</v>
      </c>
      <c r="G26" s="1628">
        <v>3</v>
      </c>
      <c r="H26" s="1669">
        <f t="shared" si="4"/>
      </c>
      <c r="I26" s="1612" t="s">
        <v>1090</v>
      </c>
      <c r="J26" s="1642"/>
    </row>
    <row customHeight="true" ht="56" r="27">
      <c r="A27" s="1619"/>
      <c r="B27" s="1605"/>
      <c r="C27" s="1649" t="s">
        <v>1091</v>
      </c>
      <c r="D27" s="1670" t="s">
        <v>1092</v>
      </c>
      <c r="E27" s="1671">
        <v>4</v>
      </c>
      <c r="F27" s="1652" t="s">
        <v>1053</v>
      </c>
      <c r="G27" s="1653">
        <v>2</v>
      </c>
      <c r="H27" s="1672">
        <f t="shared" si="4"/>
      </c>
      <c r="I27" s="1642"/>
      <c r="J27" s="1612"/>
    </row>
    <row customHeight="true" ht="53" r="28">
      <c r="A28" s="1619"/>
      <c r="B28" s="1605"/>
      <c r="C28" s="1673" t="s">
        <v>1093</v>
      </c>
      <c r="D28" s="1674" t="s">
        <v>1094</v>
      </c>
      <c r="E28" s="1675">
        <v>2</v>
      </c>
      <c r="F28" s="1676" t="s">
        <v>1056</v>
      </c>
      <c r="G28" s="1677">
        <v>2</v>
      </c>
      <c r="H28" s="1678">
        <f t="shared" si="4"/>
      </c>
      <c r="I28" s="1612"/>
      <c r="J28" s="1642"/>
    </row>
    <row customHeight="true" ht="57" r="29">
      <c r="A29" s="1619"/>
      <c r="B29" s="1605"/>
      <c r="C29" s="1679" t="s">
        <v>1095</v>
      </c>
      <c r="D29" s="1680" t="s">
        <v>1096</v>
      </c>
      <c r="E29" s="1681">
        <v>3</v>
      </c>
      <c r="F29" s="1682" t="s">
        <v>1056</v>
      </c>
      <c r="G29" s="1683">
        <v>3</v>
      </c>
      <c r="H29" s="1684">
        <f t="shared" si="4"/>
      </c>
      <c r="I29" s="1612"/>
      <c r="J29" s="1612" t="s">
        <v>1097</v>
      </c>
    </row>
    <row customHeight="true" ht="88" r="30">
      <c r="A30" s="1619"/>
      <c r="B30" s="1605"/>
      <c r="C30" s="1643" t="s">
        <v>1098</v>
      </c>
      <c r="D30" s="1685" t="s">
        <v>1099</v>
      </c>
      <c r="E30" s="1645">
        <v>2</v>
      </c>
      <c r="F30" s="1646" t="s">
        <v>1056</v>
      </c>
      <c r="G30" s="1646"/>
      <c r="H30" s="1686">
        <f t="shared" si="4"/>
      </c>
      <c r="I30" s="1635" t="s">
        <v>1100</v>
      </c>
      <c r="J30" s="1612"/>
    </row>
    <row customHeight="true" ht="55" r="31">
      <c r="A31" s="1619"/>
      <c r="B31" s="1605"/>
      <c r="C31" s="1606" t="s">
        <v>1101</v>
      </c>
      <c r="D31" s="1687" t="s">
        <v>1096</v>
      </c>
      <c r="E31" s="1608">
        <v>3</v>
      </c>
      <c r="F31" s="1609" t="s">
        <v>1056</v>
      </c>
      <c r="G31" s="1610">
        <v>2</v>
      </c>
      <c r="H31" s="1688">
        <f t="shared" si="4"/>
      </c>
      <c r="I31" s="1689"/>
      <c r="J31" s="1612"/>
    </row>
    <row customHeight="true" ht="49" r="32">
      <c r="A32" s="1619"/>
      <c r="B32" s="1605"/>
      <c r="C32" s="1613" t="s">
        <v>1102</v>
      </c>
      <c r="D32" s="1690" t="s">
        <v>1103</v>
      </c>
      <c r="E32" s="1615">
        <v>2</v>
      </c>
      <c r="F32" s="1616" t="s">
        <v>1068</v>
      </c>
      <c r="G32" s="1617">
        <v>2</v>
      </c>
      <c r="H32" s="1691">
        <f t="shared" si="4"/>
      </c>
      <c r="I32" s="1612" t="s">
        <v>1104</v>
      </c>
      <c r="J32" s="1612"/>
    </row>
    <row customHeight="true" ht="57" r="33">
      <c r="A33" s="1619"/>
      <c r="B33" s="1605"/>
      <c r="C33" s="1692" t="s">
        <v>1105</v>
      </c>
      <c r="D33" s="1693" t="s">
        <v>1106</v>
      </c>
      <c r="E33" s="1694">
        <v>2</v>
      </c>
      <c r="F33" s="1695" t="s">
        <v>1053</v>
      </c>
      <c r="G33" s="1696">
        <v>2</v>
      </c>
      <c r="H33" s="1694">
        <f t="shared" si="4"/>
      </c>
      <c r="I33" s="1612" t="s">
        <v>1104</v>
      </c>
      <c r="J33" s="1642"/>
    </row>
    <row r="34">
      <c r="A34" s="1619"/>
      <c r="B34" s="1605"/>
      <c r="C34" s="1697" t="s">
        <v>1107</v>
      </c>
      <c r="D34" s="1698" t="s">
        <v>1108</v>
      </c>
      <c r="E34" s="1699">
        <v>2</v>
      </c>
      <c r="F34" s="1700" t="s">
        <v>1058</v>
      </c>
      <c r="G34" s="1701"/>
      <c r="H34" s="1669">
        <f t="shared" si="4"/>
      </c>
      <c r="I34" s="1642"/>
      <c r="J34" s="1642"/>
    </row>
    <row r="35">
      <c r="A35" s="1619"/>
      <c r="B35" s="1605"/>
      <c r="C35" s="1702" t="s">
        <v>1109</v>
      </c>
      <c r="D35" s="1703" t="s">
        <v>1106</v>
      </c>
      <c r="E35" s="1704">
        <v>3</v>
      </c>
      <c r="F35" s="1705" t="s">
        <v>1068</v>
      </c>
      <c r="G35" s="1706">
        <v>2</v>
      </c>
      <c r="H35" s="1672">
        <f t="shared" si="4"/>
      </c>
      <c r="I35" s="1642"/>
      <c r="J35" s="1642"/>
    </row>
    <row customHeight="true" ht="31" r="36">
      <c r="A36" s="1619"/>
      <c r="B36" s="1605"/>
      <c r="C36" s="1707" t="s">
        <v>1110</v>
      </c>
      <c r="D36" s="1708" t="s">
        <v>1111</v>
      </c>
      <c r="E36" s="1709">
        <v>2</v>
      </c>
      <c r="F36" s="1710" t="s">
        <v>1058</v>
      </c>
      <c r="G36" s="1711">
        <v>2</v>
      </c>
      <c r="H36" s="1678">
        <f t="shared" si="4"/>
      </c>
      <c r="I36" s="1612"/>
      <c r="J36" s="1642"/>
    </row>
    <row customHeight="true" ht="31" r="37">
      <c r="A37" s="1619"/>
      <c r="B37" s="1605"/>
      <c r="C37" s="1712" t="s">
        <v>1112</v>
      </c>
      <c r="D37" s="1713" t="s">
        <v>1096</v>
      </c>
      <c r="E37" s="1714">
        <v>3</v>
      </c>
      <c r="F37" s="1715" t="s">
        <v>1053</v>
      </c>
      <c r="G37" s="1716">
        <v>3</v>
      </c>
      <c r="H37" s="1684">
        <f t="shared" si="4"/>
      </c>
      <c r="I37" s="1635" t="s">
        <v>1113</v>
      </c>
      <c r="J37" s="1642"/>
    </row>
    <row customHeight="true" ht="31" r="38">
      <c r="A38" s="1619"/>
      <c r="B38" s="1605"/>
      <c r="C38" s="1717" t="s">
        <v>1114</v>
      </c>
      <c r="D38" s="1718" t="s">
        <v>1096</v>
      </c>
      <c r="E38" s="1719">
        <v>3</v>
      </c>
      <c r="F38" s="1720" t="s">
        <v>1053</v>
      </c>
      <c r="G38" s="1721">
        <v>3</v>
      </c>
      <c r="H38" s="1686">
        <f t="shared" si="4"/>
      </c>
      <c r="I38" s="1642"/>
      <c r="J38" s="1642"/>
    </row>
    <row customHeight="true" ht="31" r="39">
      <c r="A39" s="1619"/>
      <c r="B39" s="1605"/>
      <c r="C39" s="1722" t="s">
        <v>1115</v>
      </c>
      <c r="D39" s="1723" t="s">
        <v>1096</v>
      </c>
      <c r="E39" s="1724">
        <v>3</v>
      </c>
      <c r="F39" s="1725" t="s">
        <v>1058</v>
      </c>
      <c r="G39" s="1726">
        <v>2</v>
      </c>
      <c r="H39" s="1691">
        <f t="shared" si="4"/>
      </c>
      <c r="I39" s="1642"/>
      <c r="J39" s="1642"/>
    </row>
    <row customHeight="true" ht="31" r="40">
      <c r="A40" s="1619"/>
      <c r="B40" s="1605"/>
      <c r="C40" s="1692" t="s">
        <v>1116</v>
      </c>
      <c r="D40" s="1693" t="s">
        <v>1096</v>
      </c>
      <c r="E40" s="1694">
        <v>3</v>
      </c>
      <c r="F40" s="1695" t="s">
        <v>1058</v>
      </c>
      <c r="G40" s="1696">
        <v>3</v>
      </c>
      <c r="H40" s="1727">
        <f t="shared" si="4"/>
      </c>
      <c r="I40" s="1642"/>
      <c r="J40" s="1642"/>
    </row>
    <row customHeight="true" ht="15" r="41">
      <c r="A41" s="1619"/>
      <c r="B41" s="1605"/>
      <c r="C41" s="1728" t="s">
        <v>1072</v>
      </c>
      <c r="D41" s="1728"/>
      <c r="E41" s="1729">
        <f>SUM(E25:E40)</f>
      </c>
      <c r="F41" s="1730"/>
      <c r="G41" s="1731"/>
      <c r="H41" s="1729">
        <f>SUM(H25:H33)</f>
      </c>
      <c r="I41" s="1642"/>
      <c r="J41" s="1642"/>
    </row>
    <row customHeight="true" ht="78" r="42">
      <c r="A42" s="1619"/>
      <c r="B42" s="1634" t="s">
        <v>1117</v>
      </c>
      <c r="C42" s="1732" t="s">
        <v>1118</v>
      </c>
      <c r="D42" s="1656" t="s">
        <v>1119</v>
      </c>
      <c r="E42" s="1657">
        <v>3</v>
      </c>
      <c r="F42" s="1658" t="s">
        <v>1053</v>
      </c>
      <c r="G42" s="1733">
        <v>3</v>
      </c>
      <c r="H42" s="1659">
        <f t="shared" ref="H42:H46" si="5">E42-G42</f>
      </c>
      <c r="I42" s="1612" t="s">
        <v>1120</v>
      </c>
    </row>
    <row customHeight="true" ht="79" r="43">
      <c r="A43" s="1619"/>
      <c r="B43" s="1634"/>
      <c r="C43" s="1734" t="s">
        <v>1121</v>
      </c>
      <c r="D43" s="1614" t="s">
        <v>1122</v>
      </c>
      <c r="E43" s="1724">
        <v>4</v>
      </c>
      <c r="F43" s="1725" t="s">
        <v>1053</v>
      </c>
      <c r="G43" s="1726">
        <v>1</v>
      </c>
      <c r="H43" s="1691">
        <f t="shared" si="5"/>
      </c>
      <c r="I43" s="1612" t="s">
        <v>1120</v>
      </c>
    </row>
    <row customHeight="true" ht="79" r="44">
      <c r="A44" s="1619"/>
      <c r="B44" s="1634"/>
      <c r="C44" s="1735" t="s">
        <v>1123</v>
      </c>
      <c r="D44" s="1620" t="s">
        <v>1124</v>
      </c>
      <c r="E44" s="1694">
        <v>6</v>
      </c>
      <c r="F44" s="1695" t="s">
        <v>1053</v>
      </c>
      <c r="G44" s="1696">
        <v>4</v>
      </c>
      <c r="H44" s="1727">
        <f t="shared" si="5"/>
      </c>
      <c r="I44" s="1612" t="s">
        <v>1125</v>
      </c>
    </row>
    <row customHeight="true" ht="60" r="45">
      <c r="A45" s="1619"/>
      <c r="B45" s="1634"/>
      <c r="C45" s="1697" t="s">
        <v>1126</v>
      </c>
      <c r="D45" s="1736" t="s">
        <v>1127</v>
      </c>
      <c r="E45" s="1699">
        <v>2</v>
      </c>
      <c r="F45" s="1700" t="s">
        <v>1056</v>
      </c>
      <c r="G45" s="1737">
        <v>2</v>
      </c>
      <c r="H45" s="1669">
        <f t="shared" si="5"/>
      </c>
      <c r="I45" s="1612"/>
    </row>
    <row customHeight="true" ht="54" r="46">
      <c r="A46" s="1619"/>
      <c r="B46" s="1634"/>
      <c r="C46" s="1702" t="s">
        <v>1128</v>
      </c>
      <c r="D46" s="1703" t="s">
        <v>1119</v>
      </c>
      <c r="E46" s="1738">
        <v>3</v>
      </c>
      <c r="F46" s="1705" t="s">
        <v>1058</v>
      </c>
      <c r="G46" s="1706">
        <v>3</v>
      </c>
      <c r="H46" s="1672">
        <f t="shared" si="5"/>
      </c>
      <c r="I46" s="1635" t="s">
        <v>1120</v>
      </c>
    </row>
    <row customHeight="true" ht="13" r="47">
      <c r="A47" s="1619"/>
      <c r="B47" s="1634"/>
      <c r="C47" s="1728" t="s">
        <v>1072</v>
      </c>
      <c r="D47" s="1728"/>
      <c r="E47" s="1729">
        <f>SUM(E42:E46)</f>
      </c>
      <c r="F47" s="1730"/>
      <c r="G47" s="1731"/>
      <c r="H47" s="1729">
        <f>SUM(H42:H46)</f>
      </c>
      <c r="I47" s="1642"/>
    </row>
    <row customHeight="true" ht="16" r="48">
      <c r="A48" s="1630" t="s">
        <v>1061</v>
      </c>
      <c r="B48" s="1630"/>
      <c r="C48" s="1630"/>
      <c r="D48" s="1630"/>
      <c r="E48" s="1631">
        <f>SUM(E17,E24,E41,E47)</f>
      </c>
      <c r="F48" s="1632"/>
      <c r="G48" s="1739"/>
      <c r="H48" s="1631">
        <f>SUM(H17,H24,H41,H47)</f>
      </c>
      <c r="I48" s="1642"/>
      <c r="J48" s="1612"/>
    </row>
    <row customHeight="true" ht="98" r="49">
      <c r="A49" s="1643" t="s">
        <v>1129</v>
      </c>
      <c r="B49" s="1634" t="s">
        <v>1130</v>
      </c>
      <c r="C49" s="1613" t="s">
        <v>1131</v>
      </c>
      <c r="D49" s="1740" t="s">
        <v>1132</v>
      </c>
      <c r="E49" s="1651">
        <v>20</v>
      </c>
      <c r="F49" s="1652"/>
      <c r="G49" s="1652"/>
      <c r="H49" s="1672">
        <f t="shared" ref="H49:H54" si="6">E49-G49</f>
      </c>
      <c r="I49" s="1637" t="s">
        <v>1133</v>
      </c>
      <c r="J49" s="1741" t="s">
        <v>1134</v>
      </c>
    </row>
    <row customHeight="true" hidden="true" ht="43" r="50">
      <c r="A50" s="1643"/>
      <c r="B50" s="1634"/>
      <c r="C50" s="1613"/>
      <c r="D50" s="1740"/>
      <c r="E50" s="1651"/>
      <c r="F50" s="1627"/>
      <c r="G50" s="1627"/>
      <c r="H50" s="1669">
        <f t="shared" si="6"/>
      </c>
      <c r="I50" s="1637"/>
    </row>
    <row customHeight="true" hidden="true" ht="41" r="51">
      <c r="A51" s="1643"/>
      <c r="B51" s="1634"/>
      <c r="C51" s="1613"/>
      <c r="D51" s="1740"/>
      <c r="E51" s="1651"/>
      <c r="F51" s="1705"/>
      <c r="G51" s="1705"/>
      <c r="H51" s="1672">
        <f t="shared" si="6"/>
      </c>
      <c r="I51" s="1637"/>
    </row>
    <row customHeight="true" hidden="true" ht="41" r="52">
      <c r="A52" s="1643"/>
      <c r="B52" s="1634"/>
      <c r="C52" s="1613"/>
      <c r="D52" s="1740"/>
      <c r="E52" s="1651"/>
      <c r="F52" s="1720"/>
      <c r="G52" s="1720"/>
      <c r="H52" s="1686">
        <f t="shared" si="6"/>
      </c>
      <c r="I52" s="1637"/>
      <c r="J52" s="1612"/>
    </row>
    <row customHeight="true" hidden="true" ht="41" r="53">
      <c r="A53" s="1643"/>
      <c r="B53" s="1634"/>
      <c r="C53" s="1613"/>
      <c r="D53" s="1740"/>
      <c r="E53" s="1651"/>
      <c r="F53" s="1742"/>
      <c r="G53" s="1742"/>
      <c r="H53" s="1668">
        <f t="shared" si="6"/>
      </c>
      <c r="I53" s="1637"/>
      <c r="J53" s="1612"/>
    </row>
    <row customHeight="true" hidden="true" ht="41" r="54">
      <c r="A54" s="1643"/>
      <c r="B54" s="1634"/>
      <c r="C54" s="1613"/>
      <c r="D54" s="1740"/>
      <c r="E54" s="1651"/>
      <c r="F54" s="1725"/>
      <c r="G54" s="1725"/>
      <c r="H54" s="1691">
        <f t="shared" si="6"/>
      </c>
      <c r="I54" s="1637"/>
      <c r="J54" s="1612"/>
    </row>
    <row customHeight="true" ht="16" r="55">
      <c r="A55" s="1643"/>
      <c r="B55" s="1634"/>
      <c r="C55" s="1728" t="s">
        <v>1072</v>
      </c>
      <c r="D55" s="1728"/>
      <c r="E55" s="1729">
        <f>SUM(E49:E54)</f>
      </c>
      <c r="F55" s="1730"/>
      <c r="G55" s="1731"/>
      <c r="H55" s="1729">
        <f>SUM(H49:H54)</f>
      </c>
    </row>
    <row customHeight="true" ht="16" r="56">
      <c r="A56" s="1630" t="s">
        <v>1061</v>
      </c>
      <c r="B56" s="1630"/>
      <c r="C56" s="1630"/>
      <c r="D56" s="1630"/>
      <c r="E56" s="1631">
        <f>SUM(E55)</f>
      </c>
      <c r="F56" s="1632"/>
      <c r="G56" s="1739"/>
      <c r="H56" s="1631">
        <f>SUM(H55)</f>
      </c>
      <c r="I56" s="1642"/>
    </row>
    <row customHeight="true" hidden="true" ht="100" r="57">
      <c r="A57" s="1679" t="s">
        <v>1135</v>
      </c>
      <c r="B57" s="1634" t="s">
        <v>1136</v>
      </c>
      <c r="C57" s="1679" t="s">
        <v>1137</v>
      </c>
      <c r="D57" s="1680" t="s">
        <v>1138</v>
      </c>
      <c r="E57" s="1681"/>
      <c r="F57" s="1682"/>
      <c r="G57" s="1682"/>
      <c r="H57" s="1684">
        <f>E57-G57</f>
      </c>
      <c r="I57" s="1642"/>
      <c r="J57" s="1642"/>
    </row>
    <row customHeight="true" hidden="true" ht="17" r="58">
      <c r="A58" s="1630" t="s">
        <v>1061</v>
      </c>
      <c r="B58" s="1630"/>
      <c r="C58" s="1630"/>
      <c r="D58" s="1630"/>
      <c r="E58" s="1631">
        <f>SUM(E57)</f>
      </c>
      <c r="F58" s="1632"/>
      <c r="G58" s="1739"/>
      <c r="H58" s="1631">
        <f>SUM(H57)</f>
      </c>
      <c r="I58" s="1642"/>
      <c r="J58" s="1642"/>
    </row>
    <row customHeight="true" ht="16" r="59">
      <c r="A59" s="1631" t="s">
        <v>1072</v>
      </c>
      <c r="B59" s="1631"/>
      <c r="C59" s="1631"/>
      <c r="D59" s="1631"/>
      <c r="E59" s="1631">
        <f>SUM(E6,E48,E56,E58)</f>
      </c>
      <c r="F59" s="1632"/>
      <c r="G59" s="1743"/>
      <c r="H59" s="1631">
        <f>SUM(H6,H48,H56,H58)</f>
      </c>
      <c r="I59" s="1612"/>
      <c r="J59" s="1642"/>
    </row>
    <row customHeight="true" ht="16" r="60">
      <c r="B60" s="1642"/>
      <c r="C60" s="1642"/>
      <c r="D60" s="1642"/>
      <c r="E60" s="1642"/>
      <c r="F60" s="1612"/>
      <c r="G60" s="1612"/>
      <c r="H60" s="1612"/>
      <c r="I60" s="1642"/>
      <c r="J60" s="1642"/>
    </row>
    <row customHeight="true" ht="16" r="61">
      <c r="B61" s="1642"/>
      <c r="C61" s="1642"/>
      <c r="D61" s="1642"/>
      <c r="E61" s="1642"/>
      <c r="F61" s="1612"/>
      <c r="G61" s="1612"/>
      <c r="H61" s="1612"/>
      <c r="I61" s="1642"/>
      <c r="J61" s="1612"/>
      <c r="K61" s="1612"/>
      <c r="L61" s="1612"/>
      <c r="M61" s="1612"/>
      <c r="N61" s="1612"/>
      <c r="O61" s="1612"/>
      <c r="P61" s="1612"/>
    </row>
    <row r="62">
      <c r="D62" s="1642"/>
      <c r="E62" s="1641" t="s">
        <v>1139</v>
      </c>
      <c r="F62" s="1744" t="s">
        <v>1044</v>
      </c>
      <c r="G62" s="1744" t="s">
        <v>1140</v>
      </c>
      <c r="H62" s="1744" t="s">
        <v>1047</v>
      </c>
      <c r="I62" s="1612"/>
      <c r="J62" s="1612"/>
      <c r="M62" s="1612"/>
    </row>
    <row r="63">
      <c r="D63" s="1642"/>
      <c r="E63" s="1745" t="s">
        <v>1141</v>
      </c>
      <c r="F63" s="1746">
        <f>SUMIF(F2:F59,"Huyền",E2:E59)</f>
      </c>
      <c r="G63" s="1746">
        <f>SUMIF(F2:F59,"Huyền",G2:G59)</f>
      </c>
      <c r="H63" s="1746">
        <f t="shared" ref="H63:H70" si="0">F63-G63</f>
      </c>
      <c r="I63" s="1612"/>
      <c r="J63" s="1612"/>
    </row>
    <row r="64">
      <c r="D64" s="1612"/>
      <c r="E64" s="1744" t="s">
        <v>1053</v>
      </c>
      <c r="F64" s="1641">
        <f>SUMIF(F2:F59,"Hoa",E2:E59)</f>
      </c>
      <c r="G64" s="1746">
        <f>SUMIF(F2:F59,"Hoa",G2:G59)</f>
      </c>
      <c r="H64" s="1641">
        <f t="shared" si="0"/>
      </c>
      <c r="I64" s="1612"/>
      <c r="J64" s="1612"/>
      <c r="K64" s="1612" t="s">
        <v>1142</v>
      </c>
      <c r="L64" s="1612" t="s">
        <v>1143</v>
      </c>
      <c r="M64" s="1612" t="s">
        <v>1144</v>
      </c>
      <c r="N64" s="1612" t="s">
        <v>1145</v>
      </c>
      <c r="O64" s="1612" t="s">
        <v>1146</v>
      </c>
      <c r="P64" s="1612" t="s">
        <v>1060</v>
      </c>
      <c r="Q64" s="1612" t="s">
        <v>1053</v>
      </c>
      <c r="R64" s="1612" t="s">
        <v>1147</v>
      </c>
      <c r="S64" s="1612" t="s">
        <v>1068</v>
      </c>
      <c r="T64" s="1612" t="s">
        <v>1061</v>
      </c>
      <c r="U64" s="1612"/>
      <c r="V64" s="1612"/>
    </row>
    <row r="65">
      <c r="D65" s="1612"/>
      <c r="E65" s="1641" t="s">
        <v>1058</v>
      </c>
      <c r="F65" s="1731">
        <f>SUMIF(F2:F59,"Thúy",E2:E59)</f>
      </c>
      <c r="G65" s="1746">
        <f>SUMIF(F2:F59,"Thúy",G2:G59)</f>
      </c>
      <c r="H65" s="1641">
        <f t="shared" si="0"/>
      </c>
      <c r="I65" s="1612"/>
      <c r="J65" s="1612" t="s">
        <v>1148</v>
      </c>
      <c r="K65" s="1612">
        <v>25</v>
      </c>
      <c r="L65" s="1612">
        <v>20</v>
      </c>
      <c r="M65" s="1612"/>
      <c r="N65" s="1612">
        <v>15</v>
      </c>
      <c r="O65" s="1612"/>
      <c r="P65" s="1612"/>
      <c r="T65">
        <f t="shared" ref="T65:T70" si="7">SUM(K65:S65)</f>
      </c>
    </row>
    <row r="66">
      <c r="D66" s="1612"/>
      <c r="E66" s="1744" t="s">
        <v>1068</v>
      </c>
      <c r="F66" s="1747">
        <f>SUMIF(F2:F59,"Ngân",E2:E59)</f>
      </c>
      <c r="G66" s="1748">
        <f>SUMIF(F2:F59,"Ngân",G2:G59)</f>
      </c>
      <c r="H66" s="1749">
        <f t="shared" si="0"/>
      </c>
      <c r="I66" s="1612"/>
      <c r="J66" s="1612" t="s">
        <v>1149</v>
      </c>
      <c r="L66" s="1612"/>
      <c r="N66" s="1612">
        <v>15</v>
      </c>
      <c r="O66" s="1612">
        <v>15</v>
      </c>
      <c r="P66" s="1612"/>
      <c r="T66">
        <f t="shared" si="7"/>
      </c>
    </row>
    <row customHeight="true" ht="16" r="67">
      <c r="D67" s="1642"/>
      <c r="E67" s="1750" t="s">
        <v>1150</v>
      </c>
      <c r="F67" s="1751">
        <f>SUMIF(F2:F59,"Bích",E2:E59)</f>
      </c>
      <c r="G67" s="1752">
        <f>SUMIF(F3:F59,"Bích",G3:G59)</f>
      </c>
      <c r="H67" s="1753">
        <f t="shared" si="0"/>
      </c>
      <c r="I67" s="1612"/>
      <c r="J67" s="1612" t="s">
        <v>1151</v>
      </c>
      <c r="M67" s="1612">
        <v>5</v>
      </c>
      <c r="Q67" s="1612">
        <v>5</v>
      </c>
      <c r="T67">
        <f t="shared" si="7"/>
      </c>
    </row>
    <row customHeight="true" ht="16" r="68">
      <c r="D68" s="1642"/>
      <c r="E68" s="1754" t="s">
        <v>1056</v>
      </c>
      <c r="F68" s="1755">
        <f>SUMIF(F3:F59,"Phương",E3:E59)</f>
      </c>
      <c r="G68" s="1755">
        <f>SUMIF(F4:F59,"Phương",G4:G59)</f>
      </c>
      <c r="H68" s="1756">
        <f t="shared" si="0"/>
      </c>
      <c r="I68" s="1612"/>
      <c r="J68" s="1612" t="s">
        <v>1152</v>
      </c>
      <c r="K68" s="1612">
        <v>10</v>
      </c>
      <c r="L68" s="1612"/>
      <c r="T68">
        <f t="shared" si="7"/>
      </c>
    </row>
    <row r="69">
      <c r="D69" s="1642"/>
      <c r="E69" s="1754" t="s">
        <v>1146</v>
      </c>
      <c r="F69" s="1755">
        <f>SUMIF(F4:F60,"Mai",E4:E60)</f>
      </c>
      <c r="G69" s="1757">
        <f>SUMIF(F4:F59,"Mai",G5:G60)</f>
      </c>
      <c r="H69" s="1756">
        <f t="shared" si="0"/>
      </c>
      <c r="I69" s="1612"/>
      <c r="J69" s="1612" t="s">
        <v>1153</v>
      </c>
      <c r="M69" s="1612">
        <v>30</v>
      </c>
      <c r="O69" s="1612">
        <v>20</v>
      </c>
      <c r="P69" s="1612">
        <v>35</v>
      </c>
      <c r="Q69" s="1612">
        <v>30</v>
      </c>
      <c r="R69" s="1612">
        <v>20</v>
      </c>
      <c r="S69" s="1612">
        <v>35</v>
      </c>
      <c r="T69">
        <f t="shared" si="7"/>
      </c>
    </row>
    <row r="70">
      <c r="D70" s="1612"/>
      <c r="E70" s="1758" t="s">
        <v>1072</v>
      </c>
      <c r="F70" s="1759">
        <f>SUM(F63:F69)</f>
      </c>
      <c r="G70" s="1759">
        <f>SUM(G63:G69)</f>
      </c>
      <c r="H70" s="1759">
        <f t="shared" si="0"/>
      </c>
      <c r="I70" s="1612"/>
      <c r="J70" s="1612" t="s">
        <v>1061</v>
      </c>
      <c r="K70">
        <f>SUM(K65:K69)</f>
      </c>
      <c r="L70">
        <f>SUM(L65:L69)</f>
      </c>
      <c r="M70">
        <f>SUM(M65:M69)</f>
      </c>
      <c r="N70">
        <f>SUM(N65:N69)</f>
      </c>
      <c r="O70">
        <f>SUM(O65:O69)</f>
      </c>
      <c r="P70">
        <f>SUM(P65:P69)</f>
      </c>
      <c r="Q70">
        <f>SUM(Q65:Q69)</f>
      </c>
      <c r="R70">
        <f>SUM(R65:R69)</f>
      </c>
      <c r="S70">
        <f>SUM(S65:S69)</f>
      </c>
      <c r="T70">
        <f t="shared" si="7"/>
      </c>
    </row>
    <row r="71">
      <c r="F71" s="1642"/>
      <c r="G71" s="1642"/>
      <c r="H71" s="1642"/>
      <c r="I71" s="1612"/>
      <c r="L71" s="1612"/>
      <c r="N71" s="1612"/>
    </row>
    <row r="72">
      <c r="J72" s="1612"/>
      <c r="K72" s="1612" t="s">
        <v>1142</v>
      </c>
      <c r="L72" s="1612" t="s">
        <v>1143</v>
      </c>
      <c r="M72" s="1612" t="s">
        <v>1144</v>
      </c>
      <c r="N72" s="1612" t="s">
        <v>1145</v>
      </c>
      <c r="O72" s="1612" t="s">
        <v>1146</v>
      </c>
      <c r="P72" s="1612" t="s">
        <v>1060</v>
      </c>
      <c r="Q72" s="1612" t="s">
        <v>1053</v>
      </c>
      <c r="R72" s="1612" t="s">
        <v>1147</v>
      </c>
      <c r="S72" s="1612" t="s">
        <v>1068</v>
      </c>
      <c r="T72" s="1612" t="s">
        <v>1061</v>
      </c>
    </row>
    <row r="73">
      <c r="J73" s="1612" t="s">
        <v>1148</v>
      </c>
      <c r="K73" s="1612">
        <v>25</v>
      </c>
      <c r="L73" s="1612">
        <v>20</v>
      </c>
      <c r="M73" s="1612">
        <v>25</v>
      </c>
      <c r="N73" s="1612"/>
      <c r="O73" s="1612">
        <v>10</v>
      </c>
      <c r="P73" s="1612"/>
      <c r="T73">
        <f t="shared" ref="T73:T78" si="8">SUM(K73:S73)</f>
      </c>
    </row>
    <row r="74">
      <c r="J74" s="1612" t="s">
        <v>1149</v>
      </c>
      <c r="L74" s="1612"/>
      <c r="N74" s="1612"/>
      <c r="O74" s="1612">
        <v>25</v>
      </c>
      <c r="P74" s="1612"/>
      <c r="S74" s="1612">
        <v>25</v>
      </c>
      <c r="T74">
        <f t="shared" si="8"/>
      </c>
    </row>
    <row r="75">
      <c r="J75" s="1612" t="s">
        <v>1151</v>
      </c>
      <c r="M75" s="1612">
        <v>10</v>
      </c>
      <c r="Q75" s="1612"/>
      <c r="T75">
        <f t="shared" si="8"/>
      </c>
    </row>
    <row r="76">
      <c r="J76" s="1612" t="s">
        <v>1152</v>
      </c>
      <c r="K76" s="1612">
        <v>10</v>
      </c>
      <c r="L76" s="1612"/>
      <c r="T76">
        <f t="shared" si="8"/>
      </c>
    </row>
    <row r="77">
      <c r="J77" s="1612" t="s">
        <v>1153</v>
      </c>
      <c r="M77" s="1612"/>
      <c r="O77" s="1612"/>
      <c r="P77" s="1612">
        <v>35</v>
      </c>
      <c r="Q77" s="1612">
        <v>35</v>
      </c>
      <c r="R77" s="1612">
        <v>20</v>
      </c>
      <c r="S77" s="1612">
        <v>10</v>
      </c>
      <c r="T77">
        <f t="shared" si="8"/>
      </c>
    </row>
    <row r="78">
      <c r="J78" s="1612" t="s">
        <v>1061</v>
      </c>
      <c r="K78">
        <f>SUM(K73:K77)</f>
      </c>
      <c r="L78">
        <f>SUM(L73:L77)</f>
      </c>
      <c r="M78">
        <f>SUM(M73:M77)</f>
      </c>
      <c r="N78">
        <f>SUM(N73:N77)</f>
      </c>
      <c r="O78">
        <f>SUM(O73:O77)</f>
      </c>
      <c r="P78">
        <f>SUM(P73:P77)</f>
      </c>
      <c r="Q78">
        <f>SUM(Q74:Q77)</f>
      </c>
      <c r="R78">
        <f>SUM(R73:R77)</f>
      </c>
      <c r="S78">
        <f>SUM(S73:S77)</f>
      </c>
      <c r="T78">
        <f t="shared" si="8"/>
      </c>
    </row>
  </sheetData>
  <mergeCells>
    <mergeCell ref="B18:B22"/>
    <mergeCell ref="B7:B8"/>
    <mergeCell ref="A6:D6"/>
    <mergeCell ref="C17:D17"/>
    <mergeCell ref="I10:I15"/>
    <mergeCell ref="I2:I4"/>
    <mergeCell ref="C24:D24"/>
    <mergeCell ref="A2:A5"/>
    <mergeCell ref="B2:B5"/>
    <mergeCell ref="I49:I54"/>
    <mergeCell ref="A59:D59"/>
    <mergeCell ref="A58:D58"/>
    <mergeCell ref="A56:D56"/>
    <mergeCell ref="C55:D55"/>
    <mergeCell ref="C41:D41"/>
    <mergeCell ref="C47:D47"/>
    <mergeCell ref="A48:D48"/>
    <mergeCell ref="A7:A47"/>
  </mergeCells>
  <picture r:id="rId1"/>
</worksheet>
</file>

<file path=xl/worksheets/sheet2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4" min="4" style="0" width="29"/>
    <col collapsed="false" customWidth="true" hidden="false" max="8" min="8" style="0" width="11"/>
    <col collapsed="false" customWidth="true" hidden="false" max="12" min="12" style="0" width="15"/>
    <col collapsed="false" customWidth="true" hidden="false" max="16" min="16" style="0" width="15"/>
    <col collapsed="false" customWidth="true" hidden="false" max="3" min="3" style="0" width="22"/>
    <col collapsed="false" customWidth="true" hidden="false" max="7" min="7" style="0" width="11"/>
    <col collapsed="false" customWidth="true" hidden="false" max="11" min="11" style="0" width="15"/>
    <col collapsed="false" customWidth="true" hidden="false" max="15" min="15" style="0" width="15"/>
    <col collapsed="false" customWidth="true" hidden="false" max="19" min="19" style="0" width="15"/>
    <col collapsed="false" customWidth="true" hidden="false" max="2" min="2" style="0" width="22"/>
    <col collapsed="false" customWidth="true" hidden="false" max="6" min="6" style="0" width="11"/>
    <col collapsed="false" customWidth="true" hidden="false" max="10" min="10" style="0" width="15"/>
    <col collapsed="false" customWidth="true" hidden="false" max="14" min="14" style="0" width="15"/>
    <col collapsed="false" customWidth="true" hidden="false" max="18" min="18" style="0" width="15"/>
    <col collapsed="false" customWidth="true" hidden="false" max="22" min="22" style="0" width="11"/>
    <col collapsed="false" customWidth="true" hidden="false" max="1" min="1" style="0" width="22"/>
    <col collapsed="false" customWidth="true" hidden="false" max="5" min="5" style="0" width="11"/>
    <col collapsed="false" customWidth="true" hidden="false" max="9" min="9" style="0" width="18"/>
    <col collapsed="false" customWidth="true" hidden="false" max="13" min="13" style="0" width="15"/>
    <col collapsed="false" customWidth="true" hidden="false" max="17" min="17" style="0" width="15"/>
    <col collapsed="false" customWidth="true" hidden="false" max="21" min="21" style="0" width="11"/>
  </cols>
  <sheetData>
    <row r="1">
      <c r="A1" s="1760" t="s">
        <v>1154</v>
      </c>
      <c r="B1" s="1760" t="s">
        <v>1155</v>
      </c>
      <c r="C1" s="1761" t="s">
        <v>1156</v>
      </c>
      <c r="D1" s="1760" t="s">
        <v>1157</v>
      </c>
      <c r="E1" s="1762" t="s">
        <v>1158</v>
      </c>
      <c r="F1" s="1763" t="s">
        <v>1159</v>
      </c>
      <c r="G1" s="1760" t="s">
        <v>1160</v>
      </c>
      <c r="H1" s="1760" t="s">
        <v>1161</v>
      </c>
      <c r="I1" s="1764" t="s">
        <v>1162</v>
      </c>
      <c r="J1" s="1765"/>
    </row>
    <row customHeight="true" ht="24" r="2">
      <c r="A2" s="1766" t="s">
        <v>1163</v>
      </c>
      <c r="B2" s="1767" t="s">
        <v>1164</v>
      </c>
      <c r="C2" s="1768" t="s">
        <v>1165</v>
      </c>
      <c r="D2" s="1769" t="s">
        <v>1166</v>
      </c>
      <c r="E2" s="1770">
        <v>5</v>
      </c>
      <c r="F2" s="1771" t="s">
        <v>1167</v>
      </c>
      <c r="G2" s="1771">
        <v>4</v>
      </c>
      <c r="H2" s="1772">
        <f t="shared" ref="H2:H5" si="1">E2-G2</f>
      </c>
      <c r="I2" s="1773" t="s">
        <v>1168</v>
      </c>
    </row>
    <row customHeight="true" ht="20" r="3">
      <c r="A3" s="1766"/>
      <c r="B3" s="1767"/>
      <c r="C3" s="1774" t="s">
        <v>1169</v>
      </c>
      <c r="D3" s="1775" t="s">
        <v>1166</v>
      </c>
      <c r="E3" s="1776">
        <v>5</v>
      </c>
      <c r="F3" s="1777" t="s">
        <v>1170</v>
      </c>
      <c r="G3" s="1777">
        <v>3</v>
      </c>
      <c r="H3" s="1778">
        <f t="shared" si="1"/>
      </c>
      <c r="I3" s="1773"/>
    </row>
    <row customHeight="true" ht="112" r="4">
      <c r="A4" s="1766"/>
      <c r="B4" s="1767"/>
      <c r="C4" s="1779" t="s">
        <v>1171</v>
      </c>
      <c r="D4" s="1780" t="s">
        <v>1166</v>
      </c>
      <c r="E4" s="1781">
        <v>5</v>
      </c>
      <c r="F4" s="1782" t="s">
        <v>1167</v>
      </c>
      <c r="G4" s="1783"/>
      <c r="H4" s="1784">
        <f t="shared" si="1"/>
      </c>
      <c r="I4" s="1773"/>
    </row>
    <row customHeight="true" ht="20" r="5">
      <c r="A5" s="1766"/>
      <c r="B5" s="1767"/>
      <c r="C5" s="1766" t="s">
        <v>1172</v>
      </c>
      <c r="D5" s="1785" t="s">
        <v>1166</v>
      </c>
      <c r="E5" s="1786">
        <v>5</v>
      </c>
      <c r="F5" s="1787" t="s">
        <v>1167</v>
      </c>
      <c r="G5" s="1787">
        <v>5</v>
      </c>
      <c r="H5" s="1788">
        <f t="shared" si="1"/>
      </c>
      <c r="I5" s="1773"/>
    </row>
    <row customHeight="true" ht="16" r="6">
      <c r="A6" s="1789" t="s">
        <v>1173</v>
      </c>
      <c r="B6" s="1789"/>
      <c r="C6" s="1789"/>
      <c r="D6" s="1789"/>
      <c r="E6" s="1790">
        <f>SUM(E2:E5)</f>
      </c>
      <c r="F6" s="1791"/>
      <c r="G6" s="1791"/>
      <c r="H6" s="1790">
        <f>SUM(H2:H5)</f>
      </c>
      <c r="I6" s="1773"/>
      <c r="K6" s="1792"/>
    </row>
    <row r="7">
      <c r="A7" s="1779" t="s">
        <v>1174</v>
      </c>
      <c r="B7" s="1793" t="s">
        <v>1175</v>
      </c>
      <c r="C7" s="1779" t="s">
        <v>1176</v>
      </c>
      <c r="D7" s="1780" t="s">
        <v>1177</v>
      </c>
      <c r="E7" s="1781">
        <v>3</v>
      </c>
      <c r="F7" s="1782" t="s">
        <v>1178</v>
      </c>
      <c r="G7" s="1782">
        <v>1</v>
      </c>
      <c r="H7" s="1784">
        <f t="shared" ref="H7:H16" si="2">E7-G7</f>
      </c>
      <c r="I7" s="1773"/>
      <c r="K7" s="1792"/>
    </row>
    <row customHeight="true" ht="81" r="8">
      <c r="A8" s="1779"/>
      <c r="B8" s="1793"/>
      <c r="C8" s="1779" t="s">
        <v>1179</v>
      </c>
      <c r="D8" s="1780" t="s">
        <v>1180</v>
      </c>
      <c r="E8" s="1781">
        <v>5</v>
      </c>
      <c r="F8" s="1782" t="s">
        <v>1181</v>
      </c>
      <c r="G8" s="1782">
        <v>5</v>
      </c>
      <c r="H8" s="1784">
        <f t="shared" si="2"/>
      </c>
      <c r="I8" s="1773"/>
      <c r="K8" s="1792"/>
    </row>
    <row customHeight="true" ht="61" r="9">
      <c r="A9" s="1779"/>
      <c r="B9" s="1793"/>
      <c r="C9" s="1779" t="s">
        <v>1182</v>
      </c>
      <c r="D9" s="1780" t="s">
        <v>1183</v>
      </c>
      <c r="E9" s="1781">
        <v>2</v>
      </c>
      <c r="F9" s="1782" t="s">
        <v>1184</v>
      </c>
      <c r="G9" s="1782">
        <v>2</v>
      </c>
      <c r="H9" s="1784">
        <f t="shared" si="2"/>
      </c>
      <c r="I9" s="1794"/>
      <c r="K9" s="1792"/>
    </row>
    <row customHeight="true" hidden="true" ht="70" r="10">
      <c r="A10" s="1779"/>
      <c r="B10" s="1793"/>
      <c r="C10" s="1779"/>
      <c r="D10" s="1780"/>
      <c r="E10" s="1781"/>
      <c r="F10" s="1782"/>
      <c r="G10" s="1782"/>
      <c r="H10" s="1784">
        <f t="shared" si="2"/>
      </c>
      <c r="I10" s="1794"/>
      <c r="K10" s="1792"/>
    </row>
    <row customHeight="true" hidden="true" ht="50" r="11">
      <c r="A11" s="1779"/>
      <c r="B11" s="1793"/>
      <c r="C11" s="1779"/>
      <c r="D11" s="1780"/>
      <c r="E11" s="1781"/>
      <c r="F11" s="1782"/>
      <c r="G11" s="1782"/>
      <c r="H11" s="1784">
        <f t="shared" si="2"/>
      </c>
      <c r="I11" s="1794"/>
      <c r="K11" s="1792"/>
    </row>
    <row customHeight="true" hidden="true" ht="50" r="12">
      <c r="A12" s="1779"/>
      <c r="B12" s="1793"/>
      <c r="C12" s="1779"/>
      <c r="D12" s="1780"/>
      <c r="E12" s="1781"/>
      <c r="F12" s="1782"/>
      <c r="G12" s="1782"/>
      <c r="H12" s="1784">
        <f t="shared" si="2"/>
      </c>
      <c r="I12" s="1794"/>
      <c r="K12" s="1792"/>
    </row>
    <row customHeight="true" hidden="true" ht="50" r="13">
      <c r="A13" s="1779"/>
      <c r="B13" s="1793"/>
      <c r="C13" s="1779"/>
      <c r="D13" s="1780"/>
      <c r="E13" s="1781"/>
      <c r="F13" s="1782"/>
      <c r="G13" s="1782"/>
      <c r="H13" s="1784">
        <f t="shared" si="2"/>
      </c>
      <c r="I13" s="1794"/>
      <c r="K13" s="1792"/>
    </row>
    <row customHeight="true" hidden="true" ht="50" r="14">
      <c r="A14" s="1779"/>
      <c r="B14" s="1793"/>
      <c r="C14" s="1779"/>
      <c r="D14" s="1780"/>
      <c r="E14" s="1781"/>
      <c r="F14" s="1782"/>
      <c r="G14" s="1782"/>
      <c r="H14" s="1784">
        <f t="shared" si="2"/>
      </c>
      <c r="I14" s="1794"/>
      <c r="K14" s="1792"/>
    </row>
    <row customHeight="true" hidden="true" ht="50" r="15">
      <c r="A15" s="1779"/>
      <c r="B15" s="1793"/>
      <c r="C15" s="1779"/>
      <c r="D15" s="1780"/>
      <c r="E15" s="1781"/>
      <c r="F15" s="1782"/>
      <c r="G15" s="1782"/>
      <c r="H15" s="1784">
        <f t="shared" si="2"/>
      </c>
      <c r="I15" s="1794"/>
      <c r="K15" s="1792"/>
    </row>
    <row customHeight="true" hidden="true" ht="50" r="16">
      <c r="A16" s="1779"/>
      <c r="B16" s="1793"/>
      <c r="C16" s="1779"/>
      <c r="D16" s="1780"/>
      <c r="E16" s="1781"/>
      <c r="F16" s="1782"/>
      <c r="G16" s="1782"/>
      <c r="H16" s="1784">
        <f t="shared" si="2"/>
      </c>
      <c r="I16" s="1773"/>
      <c r="K16" s="1792"/>
    </row>
    <row customHeight="true" ht="16" r="17">
      <c r="A17" s="1779"/>
      <c r="B17" s="1793"/>
      <c r="C17" s="1795" t="s">
        <v>1185</v>
      </c>
      <c r="D17" s="1795"/>
      <c r="E17" s="1796">
        <f>SUM(E7:E16)</f>
      </c>
      <c r="F17" s="1797"/>
      <c r="G17" s="1798"/>
      <c r="H17" s="1796">
        <f>SUM(H7:H16)</f>
      </c>
      <c r="I17" s="1799"/>
    </row>
    <row customHeight="true" ht="130" r="18">
      <c r="A18" s="1779"/>
      <c r="B18" s="1793" t="s">
        <v>1186</v>
      </c>
      <c r="C18" s="1800" t="s">
        <v>1187</v>
      </c>
      <c r="D18" s="1801" t="s">
        <v>1188</v>
      </c>
      <c r="E18" s="1802">
        <v>7</v>
      </c>
      <c r="F18" s="1803" t="s">
        <v>1170</v>
      </c>
      <c r="G18" s="1803">
        <v>7</v>
      </c>
      <c r="H18" s="1804">
        <f t="shared" ref="H18:H23" si="3">E18-G18</f>
      </c>
      <c r="I18" s="1773" t="s">
        <v>1189</v>
      </c>
    </row>
    <row customHeight="true" ht="81" r="19">
      <c r="A19" s="1779"/>
      <c r="B19" s="1793"/>
      <c r="C19" s="1805" t="s">
        <v>1190</v>
      </c>
      <c r="D19" s="1806" t="s">
        <v>1191</v>
      </c>
      <c r="E19" s="1807">
        <v>5</v>
      </c>
      <c r="F19" s="1808" t="s">
        <v>1184</v>
      </c>
      <c r="G19" s="1808">
        <v>5</v>
      </c>
      <c r="H19" s="1809">
        <f t="shared" si="3"/>
      </c>
      <c r="I19" s="1773" t="s">
        <v>1192</v>
      </c>
    </row>
    <row customHeight="true" hidden="true" ht="44" r="20">
      <c r="A20" s="1779"/>
      <c r="B20" s="1793"/>
      <c r="C20" s="1810"/>
      <c r="D20" s="1811"/>
      <c r="E20" s="1812"/>
      <c r="F20" s="1813"/>
      <c r="G20" s="1813"/>
      <c r="H20" s="1814">
        <f t="shared" si="3"/>
      </c>
      <c r="I20" s="1773"/>
      <c r="J20" s="1773"/>
    </row>
    <row customHeight="true" ht="77" r="21">
      <c r="A21" s="1779"/>
      <c r="B21" s="1793"/>
      <c r="C21" s="1766" t="s">
        <v>1193</v>
      </c>
      <c r="D21" s="1815" t="s">
        <v>1194</v>
      </c>
      <c r="E21" s="1786">
        <v>3</v>
      </c>
      <c r="F21" s="1787" t="s">
        <v>1184</v>
      </c>
      <c r="G21" s="1787">
        <v>3</v>
      </c>
      <c r="H21" s="1788">
        <f t="shared" si="3"/>
      </c>
      <c r="I21" s="1773" t="s">
        <v>1195</v>
      </c>
    </row>
    <row customHeight="true" ht="75" r="22">
      <c r="A22" s="1779"/>
      <c r="B22" s="1793"/>
      <c r="C22" s="1816" t="s">
        <v>1196</v>
      </c>
      <c r="D22" s="1817" t="s">
        <v>1197</v>
      </c>
      <c r="E22" s="1781">
        <v>3</v>
      </c>
      <c r="F22" s="1782" t="s">
        <v>1181</v>
      </c>
      <c r="G22" s="1782">
        <v>2</v>
      </c>
      <c r="H22" s="1781">
        <f t="shared" si="3"/>
      </c>
      <c r="I22" s="1773"/>
    </row>
    <row customHeight="true" ht="75" r="23">
      <c r="A23" s="1779"/>
      <c r="B23" s="1793"/>
      <c r="C23" s="1766" t="s">
        <v>1198</v>
      </c>
      <c r="D23" s="1815" t="s">
        <v>1199</v>
      </c>
      <c r="E23" s="1786">
        <v>5</v>
      </c>
      <c r="F23" s="1787" t="s">
        <v>1181</v>
      </c>
      <c r="G23" s="1787">
        <v>3</v>
      </c>
      <c r="H23" s="1786">
        <f t="shared" si="3"/>
      </c>
      <c r="I23" s="1773" t="s">
        <v>1200</v>
      </c>
    </row>
    <row customHeight="true" ht="16" r="24">
      <c r="A24" s="1779"/>
      <c r="B24" s="1793"/>
      <c r="C24" s="1795" t="s">
        <v>1185</v>
      </c>
      <c r="D24" s="1795"/>
      <c r="E24" s="1796">
        <f>SUM(E18:E23)</f>
      </c>
      <c r="F24" s="1797"/>
      <c r="G24" s="1798"/>
      <c r="H24" s="1796">
        <f>SUM(H18:H23)</f>
      </c>
      <c r="I24" s="1799"/>
    </row>
    <row customHeight="true" ht="76" r="25">
      <c r="A25" s="1779"/>
      <c r="B25" s="1767" t="s">
        <v>1201</v>
      </c>
      <c r="C25" s="1818" t="s">
        <v>1202</v>
      </c>
      <c r="D25" s="1819" t="s">
        <v>1203</v>
      </c>
      <c r="E25" s="1820">
        <v>5</v>
      </c>
      <c r="F25" s="1821" t="s">
        <v>1178</v>
      </c>
      <c r="G25" s="1821">
        <v>5</v>
      </c>
      <c r="H25" s="1822">
        <f t="shared" ref="H25:H40" si="4">E25-G25</f>
      </c>
      <c r="I25" s="1823" t="s">
        <v>1204</v>
      </c>
      <c r="J25" s="1799"/>
    </row>
    <row customHeight="true" ht="84" r="26">
      <c r="A26" s="1779"/>
      <c r="B26" s="1767"/>
      <c r="C26" s="1766" t="s">
        <v>1205</v>
      </c>
      <c r="D26" s="1815" t="s">
        <v>1206</v>
      </c>
      <c r="E26" s="1786">
        <v>5</v>
      </c>
      <c r="F26" s="1787" t="s">
        <v>1178</v>
      </c>
      <c r="G26" s="1787">
        <v>2</v>
      </c>
      <c r="H26" s="1824">
        <f t="shared" si="4"/>
      </c>
      <c r="I26" s="1823" t="s">
        <v>1207</v>
      </c>
      <c r="J26" s="1799"/>
    </row>
    <row customHeight="true" ht="56" r="27">
      <c r="A27" s="1779"/>
      <c r="B27" s="1767"/>
      <c r="C27" s="1805" t="s">
        <v>1208</v>
      </c>
      <c r="D27" s="1825" t="s">
        <v>1209</v>
      </c>
      <c r="E27" s="1807">
        <v>3</v>
      </c>
      <c r="F27" s="1808" t="s">
        <v>1170</v>
      </c>
      <c r="G27" s="1808">
        <v>3</v>
      </c>
      <c r="H27" s="1826">
        <f t="shared" si="4"/>
      </c>
      <c r="I27" s="1773" t="s">
        <v>1210</v>
      </c>
      <c r="J27" s="1773"/>
    </row>
    <row customHeight="true" ht="53" r="28">
      <c r="A28" s="1779"/>
      <c r="B28" s="1767"/>
      <c r="C28" s="1827" t="s">
        <v>1211</v>
      </c>
      <c r="D28" s="1828" t="s">
        <v>1209</v>
      </c>
      <c r="E28" s="1829">
        <v>3</v>
      </c>
      <c r="F28" s="1830" t="s">
        <v>1170</v>
      </c>
      <c r="G28" s="1830"/>
      <c r="H28" s="1831">
        <f t="shared" si="4"/>
      </c>
      <c r="I28" s="1773" t="s">
        <v>1212</v>
      </c>
      <c r="J28" s="1799"/>
    </row>
    <row customHeight="true" ht="57" r="29">
      <c r="A29" s="1779"/>
      <c r="B29" s="1767"/>
      <c r="C29" s="1832" t="s">
        <v>1213</v>
      </c>
      <c r="D29" s="1833" t="s">
        <v>1209</v>
      </c>
      <c r="E29" s="1834">
        <v>2</v>
      </c>
      <c r="F29" s="1835" t="s">
        <v>1181</v>
      </c>
      <c r="G29" s="1835">
        <v>1</v>
      </c>
      <c r="H29" s="1836">
        <f t="shared" si="4"/>
      </c>
      <c r="I29" s="1773"/>
      <c r="J29" s="1773" t="s">
        <v>1214</v>
      </c>
    </row>
    <row customHeight="true" ht="88" r="30">
      <c r="A30" s="1779"/>
      <c r="B30" s="1767"/>
      <c r="C30" s="1800" t="s">
        <v>1215</v>
      </c>
      <c r="D30" s="1837" t="s">
        <v>1216</v>
      </c>
      <c r="E30" s="1802">
        <v>2</v>
      </c>
      <c r="F30" s="1803" t="s">
        <v>1184</v>
      </c>
      <c r="G30" s="1803">
        <v>1</v>
      </c>
      <c r="H30" s="1838">
        <f t="shared" si="4"/>
      </c>
      <c r="I30" s="1773"/>
      <c r="J30" s="1773"/>
    </row>
    <row customHeight="true" ht="55" r="31">
      <c r="A31" s="1779"/>
      <c r="B31" s="1767"/>
      <c r="C31" s="1768" t="s">
        <v>1217</v>
      </c>
      <c r="D31" s="1839" t="s">
        <v>1218</v>
      </c>
      <c r="E31" s="1770">
        <v>3</v>
      </c>
      <c r="F31" s="1771" t="s">
        <v>1184</v>
      </c>
      <c r="G31" s="1771">
        <v>4</v>
      </c>
      <c r="H31" s="1840">
        <f t="shared" si="4"/>
      </c>
      <c r="I31" s="1841" t="s">
        <v>1219</v>
      </c>
      <c r="J31" s="1773"/>
    </row>
    <row customHeight="true" ht="49" r="32">
      <c r="A32" s="1779"/>
      <c r="B32" s="1767"/>
      <c r="C32" s="1774" t="s">
        <v>1220</v>
      </c>
      <c r="D32" s="1842" t="s">
        <v>1221</v>
      </c>
      <c r="E32" s="1776">
        <v>3</v>
      </c>
      <c r="F32" s="1777" t="s">
        <v>1184</v>
      </c>
      <c r="G32" s="1777">
        <v>3</v>
      </c>
      <c r="H32" s="1843">
        <f t="shared" si="4"/>
      </c>
      <c r="I32" s="1773"/>
      <c r="J32" s="1773"/>
    </row>
    <row customHeight="true" ht="57" r="33">
      <c r="A33" s="1779"/>
      <c r="B33" s="1767"/>
      <c r="C33" s="1844" t="s">
        <v>1222</v>
      </c>
      <c r="D33" s="1845" t="s">
        <v>1223</v>
      </c>
      <c r="E33" s="1846">
        <v>4</v>
      </c>
      <c r="F33" s="1847" t="s">
        <v>1170</v>
      </c>
      <c r="G33" s="1847">
        <v>1</v>
      </c>
      <c r="H33" s="1846">
        <f t="shared" si="4"/>
      </c>
      <c r="I33" s="1773" t="s">
        <v>1210</v>
      </c>
      <c r="J33" s="1799"/>
    </row>
    <row r="34">
      <c r="A34" s="1779"/>
      <c r="B34" s="1767"/>
      <c r="C34" s="1848" t="s">
        <v>1224</v>
      </c>
      <c r="D34" s="1849" t="s">
        <v>1225</v>
      </c>
      <c r="E34" s="1850">
        <v>3</v>
      </c>
      <c r="F34" s="1851" t="s">
        <v>1181</v>
      </c>
      <c r="G34" s="1851">
        <v>3</v>
      </c>
      <c r="H34" s="1824">
        <f t="shared" si="4"/>
      </c>
      <c r="I34" s="1773" t="s">
        <v>1226</v>
      </c>
      <c r="J34" s="1799"/>
    </row>
    <row r="35">
      <c r="A35" s="1779"/>
      <c r="B35" s="1767"/>
      <c r="C35" s="1852" t="s">
        <v>1227</v>
      </c>
      <c r="D35" s="1853" t="s">
        <v>1197</v>
      </c>
      <c r="E35" s="1854">
        <v>3</v>
      </c>
      <c r="F35" s="1855" t="s">
        <v>1184</v>
      </c>
      <c r="G35" s="1855">
        <v>2</v>
      </c>
      <c r="H35" s="1826">
        <f t="shared" si="4"/>
      </c>
      <c r="I35" s="1799"/>
      <c r="J35" s="1799"/>
    </row>
    <row customHeight="true" ht="31" r="36">
      <c r="A36" s="1779"/>
      <c r="B36" s="1767"/>
      <c r="C36" s="1856" t="s">
        <v>1228</v>
      </c>
      <c r="D36" s="1857" t="s">
        <v>1229</v>
      </c>
      <c r="E36" s="1858">
        <v>2</v>
      </c>
      <c r="F36" s="1859" t="s">
        <v>1181</v>
      </c>
      <c r="G36" s="1859">
        <v>3</v>
      </c>
      <c r="H36" s="1831">
        <f t="shared" si="4"/>
      </c>
      <c r="I36" s="1773" t="s">
        <v>1230</v>
      </c>
      <c r="J36" s="1799"/>
    </row>
    <row customHeight="true" ht="31" r="37">
      <c r="A37" s="1779"/>
      <c r="B37" s="1767"/>
      <c r="C37" s="1860" t="s">
        <v>1231</v>
      </c>
      <c r="D37" s="1861" t="s">
        <v>1197</v>
      </c>
      <c r="E37" s="1862">
        <v>3</v>
      </c>
      <c r="F37" s="1863" t="s">
        <v>1170</v>
      </c>
      <c r="G37" s="1863">
        <v>2</v>
      </c>
      <c r="H37" s="1836">
        <f t="shared" si="4"/>
      </c>
      <c r="I37" s="1773" t="s">
        <v>1210</v>
      </c>
      <c r="J37" s="1799"/>
    </row>
    <row customHeight="true" ht="31" r="38">
      <c r="A38" s="1779"/>
      <c r="B38" s="1767"/>
      <c r="C38" s="1864" t="s">
        <v>1232</v>
      </c>
      <c r="D38" s="1865" t="s">
        <v>1233</v>
      </c>
      <c r="E38" s="1866">
        <v>3</v>
      </c>
      <c r="F38" s="1867" t="s">
        <v>1170</v>
      </c>
      <c r="G38" s="1867">
        <v>1</v>
      </c>
      <c r="H38" s="1838">
        <f t="shared" si="4"/>
      </c>
      <c r="I38" s="1773" t="s">
        <v>1234</v>
      </c>
      <c r="J38" s="1799"/>
    </row>
    <row customHeight="true" ht="56" r="39">
      <c r="A39" s="1779"/>
      <c r="B39" s="1767"/>
      <c r="C39" s="1868" t="s">
        <v>1235</v>
      </c>
      <c r="D39" s="1869" t="s">
        <v>1236</v>
      </c>
      <c r="E39" s="1870">
        <v>3</v>
      </c>
      <c r="F39" s="1871" t="s">
        <v>1181</v>
      </c>
      <c r="G39" s="1871">
        <v>3</v>
      </c>
      <c r="H39" s="1843">
        <f t="shared" si="4"/>
      </c>
      <c r="I39" s="1773"/>
      <c r="J39" s="1799"/>
    </row>
    <row customHeight="true" ht="31" r="40">
      <c r="A40" s="1779"/>
      <c r="B40" s="1767"/>
      <c r="C40" s="1844" t="s">
        <v>1237</v>
      </c>
      <c r="D40" s="1845" t="s">
        <v>1238</v>
      </c>
      <c r="E40" s="1846">
        <v>2</v>
      </c>
      <c r="F40" s="1847" t="s">
        <v>1178</v>
      </c>
      <c r="G40" s="1847">
        <v>1</v>
      </c>
      <c r="H40" s="1872">
        <f t="shared" si="4"/>
      </c>
      <c r="I40" s="1799"/>
      <c r="J40" s="1799"/>
    </row>
    <row customHeight="true" ht="15" r="41">
      <c r="A41" s="1779"/>
      <c r="B41" s="1767"/>
      <c r="C41" s="1873" t="s">
        <v>1185</v>
      </c>
      <c r="D41" s="1873"/>
      <c r="E41" s="1874">
        <f>SUM(E25:E40)</f>
      </c>
      <c r="F41" s="1875"/>
      <c r="G41" s="1876"/>
      <c r="H41" s="1874">
        <f>SUM(H25:H33)</f>
      </c>
      <c r="I41" s="1799"/>
      <c r="J41" s="1799"/>
    </row>
    <row customHeight="true" ht="78" r="42">
      <c r="A42" s="1779"/>
      <c r="B42" s="1793" t="s">
        <v>1239</v>
      </c>
      <c r="C42" s="1877" t="s">
        <v>1240</v>
      </c>
      <c r="D42" s="1811" t="s">
        <v>1241</v>
      </c>
      <c r="E42" s="1812">
        <v>6</v>
      </c>
      <c r="F42" s="1813" t="s">
        <v>1181</v>
      </c>
      <c r="G42" s="1813">
        <v>6</v>
      </c>
      <c r="H42" s="1814">
        <f t="shared" ref="H42:H46" si="5">E42-G42</f>
      </c>
      <c r="I42" s="1773"/>
    </row>
    <row customHeight="true" ht="79" r="43">
      <c r="A43" s="1779"/>
      <c r="B43" s="1793"/>
      <c r="C43" s="1878" t="s">
        <v>1242</v>
      </c>
      <c r="D43" s="1775" t="s">
        <v>1243</v>
      </c>
      <c r="E43" s="1870">
        <v>3</v>
      </c>
      <c r="F43" s="1871" t="s">
        <v>1170</v>
      </c>
      <c r="G43" s="1871"/>
      <c r="H43" s="1843">
        <f t="shared" si="5"/>
      </c>
      <c r="I43" s="1773" t="s">
        <v>1244</v>
      </c>
    </row>
    <row customHeight="true" ht="99" r="44">
      <c r="A44" s="1779"/>
      <c r="B44" s="1793"/>
      <c r="C44" s="1879" t="s">
        <v>1245</v>
      </c>
      <c r="D44" s="1780" t="s">
        <v>1246</v>
      </c>
      <c r="E44" s="1846">
        <v>6</v>
      </c>
      <c r="F44" s="1847" t="s">
        <v>1181</v>
      </c>
      <c r="G44" s="1847">
        <v>1</v>
      </c>
      <c r="H44" s="1872">
        <f t="shared" si="5"/>
      </c>
      <c r="I44" s="1773" t="s">
        <v>1247</v>
      </c>
    </row>
    <row customHeight="true" hidden="true" ht="60" r="45">
      <c r="A45" s="1779"/>
      <c r="B45" s="1793"/>
      <c r="C45" s="1848"/>
      <c r="D45" s="1849"/>
      <c r="E45" s="1850"/>
      <c r="F45" s="1851"/>
      <c r="G45" s="1851"/>
      <c r="H45" s="1824">
        <f t="shared" si="5"/>
      </c>
      <c r="I45" s="1773"/>
    </row>
    <row customHeight="true" hidden="true" ht="54" r="46">
      <c r="A46" s="1779"/>
      <c r="B46" s="1793"/>
      <c r="C46" s="1852"/>
      <c r="D46" s="1853"/>
      <c r="E46" s="1854"/>
      <c r="F46" s="1855"/>
      <c r="G46" s="1855"/>
      <c r="H46" s="1826">
        <f t="shared" si="5"/>
      </c>
      <c r="I46" s="1773" t="s">
        <v>1248</v>
      </c>
    </row>
    <row customHeight="true" ht="13" r="47">
      <c r="A47" s="1779"/>
      <c r="B47" s="1793"/>
      <c r="C47" s="1873" t="s">
        <v>1185</v>
      </c>
      <c r="D47" s="1873"/>
      <c r="E47" s="1874">
        <f>SUM(E42:E46)</f>
      </c>
      <c r="F47" s="1875"/>
      <c r="G47" s="1876"/>
      <c r="H47" s="1874">
        <f>SUM(H42:H46)</f>
      </c>
      <c r="I47" s="1799"/>
    </row>
    <row customHeight="true" ht="16" r="48">
      <c r="A48" s="1789" t="s">
        <v>1173</v>
      </c>
      <c r="B48" s="1789"/>
      <c r="C48" s="1789"/>
      <c r="D48" s="1789"/>
      <c r="E48" s="1790">
        <f>SUM(E17,E24,E41,E47)</f>
      </c>
      <c r="F48" s="1791"/>
      <c r="G48" s="1880"/>
      <c r="H48" s="1790">
        <f>SUM(H17,H24,H41,H47)</f>
      </c>
      <c r="I48" s="1799"/>
      <c r="J48" s="1773"/>
    </row>
    <row customHeight="true" ht="185" r="49">
      <c r="A49" s="1800" t="s">
        <v>1249</v>
      </c>
      <c r="B49" s="1793" t="s">
        <v>1250</v>
      </c>
      <c r="C49" s="1842" t="s">
        <v>1251</v>
      </c>
      <c r="D49" s="1825" t="s">
        <v>1252</v>
      </c>
      <c r="E49" s="1807">
        <v>20</v>
      </c>
      <c r="F49" s="1808"/>
      <c r="G49" s="1808"/>
      <c r="H49" s="1826">
        <f t="shared" ref="H49:H54" si="6">E49-G49</f>
      </c>
      <c r="I49" s="1794" t="s">
        <v>1253</v>
      </c>
      <c r="J49" s="1823"/>
    </row>
    <row customHeight="true" hidden="true" ht="43" r="50">
      <c r="A50" s="1800"/>
      <c r="B50" s="1793"/>
      <c r="C50" s="1774"/>
      <c r="D50" s="1825"/>
      <c r="E50" s="1807"/>
      <c r="F50" s="1787"/>
      <c r="G50" s="1787"/>
      <c r="H50" s="1824">
        <f t="shared" si="6"/>
      </c>
      <c r="I50" s="1794"/>
    </row>
    <row customHeight="true" hidden="true" ht="41" r="51">
      <c r="A51" s="1800"/>
      <c r="B51" s="1793"/>
      <c r="C51" s="1774"/>
      <c r="D51" s="1825"/>
      <c r="E51" s="1807"/>
      <c r="F51" s="1855"/>
      <c r="G51" s="1855"/>
      <c r="H51" s="1826">
        <f t="shared" si="6"/>
      </c>
      <c r="I51" s="1794"/>
    </row>
    <row customHeight="true" hidden="true" ht="41" r="52">
      <c r="A52" s="1800"/>
      <c r="B52" s="1793"/>
      <c r="C52" s="1774"/>
      <c r="D52" s="1825"/>
      <c r="E52" s="1807"/>
      <c r="F52" s="1867"/>
      <c r="G52" s="1867"/>
      <c r="H52" s="1838">
        <f t="shared" si="6"/>
      </c>
      <c r="I52" s="1794"/>
      <c r="J52" s="1773"/>
    </row>
    <row customHeight="true" hidden="true" ht="41" r="53">
      <c r="A53" s="1800"/>
      <c r="B53" s="1793"/>
      <c r="C53" s="1774"/>
      <c r="D53" s="1825"/>
      <c r="E53" s="1807"/>
      <c r="F53" s="1881"/>
      <c r="G53" s="1881"/>
      <c r="H53" s="1822">
        <f t="shared" si="6"/>
      </c>
      <c r="I53" s="1794"/>
      <c r="J53" s="1773"/>
    </row>
    <row customHeight="true" hidden="true" ht="41" r="54">
      <c r="A54" s="1800"/>
      <c r="B54" s="1793"/>
      <c r="C54" s="1774"/>
      <c r="D54" s="1825"/>
      <c r="E54" s="1807"/>
      <c r="F54" s="1871"/>
      <c r="G54" s="1871"/>
      <c r="H54" s="1843">
        <f t="shared" si="6"/>
      </c>
      <c r="I54" s="1794"/>
      <c r="J54" s="1773"/>
    </row>
    <row customHeight="true" ht="16" r="55">
      <c r="A55" s="1800"/>
      <c r="B55" s="1793"/>
      <c r="C55" s="1873" t="s">
        <v>1185</v>
      </c>
      <c r="D55" s="1873"/>
      <c r="E55" s="1874">
        <f>SUM(E49:E54)</f>
      </c>
      <c r="F55" s="1875"/>
      <c r="G55" s="1876"/>
      <c r="H55" s="1874">
        <f>SUM(H49:H54)</f>
      </c>
    </row>
    <row customHeight="true" ht="16" r="56">
      <c r="A56" s="1789" t="s">
        <v>1173</v>
      </c>
      <c r="B56" s="1789"/>
      <c r="C56" s="1789"/>
      <c r="D56" s="1789"/>
      <c r="E56" s="1790">
        <f>SUM(E55)</f>
      </c>
      <c r="F56" s="1791"/>
      <c r="G56" s="1880"/>
      <c r="H56" s="1790">
        <f>SUM(H55)</f>
      </c>
      <c r="I56" s="1799"/>
    </row>
    <row customHeight="true" hidden="true" ht="100" r="57">
      <c r="A57" s="1832" t="s">
        <v>1254</v>
      </c>
      <c r="B57" s="1793" t="s">
        <v>1255</v>
      </c>
      <c r="C57" s="1832" t="s">
        <v>1256</v>
      </c>
      <c r="D57" s="1833" t="s">
        <v>1257</v>
      </c>
      <c r="E57" s="1834"/>
      <c r="F57" s="1835"/>
      <c r="G57" s="1835"/>
      <c r="H57" s="1836">
        <f>E57-G57</f>
      </c>
      <c r="I57" s="1799"/>
      <c r="J57" s="1799"/>
    </row>
    <row customHeight="true" ht="17" r="58">
      <c r="A58" s="1789" t="s">
        <v>1173</v>
      </c>
      <c r="B58" s="1789"/>
      <c r="C58" s="1789"/>
      <c r="D58" s="1789"/>
      <c r="E58" s="1790">
        <f>SUM(E57)</f>
      </c>
      <c r="F58" s="1791"/>
      <c r="G58" s="1880"/>
      <c r="H58" s="1790">
        <f>SUM(H57)</f>
      </c>
      <c r="I58" s="1799"/>
      <c r="J58" s="1799"/>
    </row>
    <row customHeight="true" ht="16" r="59">
      <c r="A59" s="1790" t="s">
        <v>1185</v>
      </c>
      <c r="B59" s="1790"/>
      <c r="C59" s="1790"/>
      <c r="D59" s="1790"/>
      <c r="E59" s="1790">
        <f>SUM(E6,E48,E56,E58)</f>
      </c>
      <c r="F59" s="1791"/>
      <c r="G59" s="1882"/>
      <c r="H59" s="1790">
        <f>SUM(H6,H48,H56,H58)</f>
      </c>
      <c r="I59" s="1773"/>
      <c r="J59" s="1799"/>
    </row>
    <row customHeight="true" ht="16" r="60">
      <c r="B60" s="1799"/>
      <c r="C60" s="1799"/>
      <c r="D60" s="1799"/>
      <c r="E60" s="1799"/>
      <c r="F60" s="1773"/>
      <c r="G60" s="1773"/>
      <c r="H60" s="1773"/>
      <c r="I60" s="1799"/>
      <c r="J60" s="1799"/>
    </row>
    <row customHeight="true" ht="16" r="61">
      <c r="B61" s="1799"/>
      <c r="C61" s="1799"/>
      <c r="D61" s="1799"/>
      <c r="E61" s="1799"/>
      <c r="F61" s="1773"/>
      <c r="G61" s="1773"/>
      <c r="H61" s="1773"/>
      <c r="I61" s="1799"/>
      <c r="J61" s="1773"/>
      <c r="K61" s="1773"/>
      <c r="L61" s="1773"/>
      <c r="M61" s="1773"/>
      <c r="N61" s="1773"/>
      <c r="O61" s="1773"/>
      <c r="P61" s="1773"/>
    </row>
    <row r="62">
      <c r="D62" s="1799"/>
      <c r="E62" s="1798" t="s">
        <v>1258</v>
      </c>
      <c r="F62" s="1883" t="s">
        <v>1158</v>
      </c>
      <c r="G62" s="1883" t="s">
        <v>1259</v>
      </c>
      <c r="H62" s="1883" t="s">
        <v>1161</v>
      </c>
      <c r="I62" s="1773"/>
      <c r="J62" s="1773"/>
      <c r="M62" s="1773"/>
    </row>
    <row r="63">
      <c r="D63" s="1799"/>
      <c r="E63" s="1884" t="s">
        <v>1167</v>
      </c>
      <c r="F63" s="1885">
        <f>SUMIF(F2:F59,"Huyền",E2:E59)</f>
      </c>
      <c r="G63" s="1885">
        <f>SUMIF(F2:F59,"Huyền",G2:G59)</f>
      </c>
      <c r="H63" s="1885">
        <f t="shared" ref="H63:H70" si="7">F63-G63</f>
      </c>
      <c r="I63" s="1773"/>
      <c r="J63" s="1773"/>
    </row>
    <row r="64">
      <c r="D64" s="1773"/>
      <c r="E64" s="1883" t="s">
        <v>1170</v>
      </c>
      <c r="F64" s="1798">
        <f>SUMIF(F2:F59,"Hoa",E2:E59)</f>
      </c>
      <c r="G64" s="1885">
        <f>SUMIF(F2:F59,"Hoa",G2:G59)</f>
      </c>
      <c r="H64" s="1798">
        <f t="shared" si="7"/>
      </c>
      <c r="I64" s="1773"/>
      <c r="J64" s="1773"/>
      <c r="K64" s="1773" t="s">
        <v>1260</v>
      </c>
      <c r="L64" s="1773" t="s">
        <v>1261</v>
      </c>
      <c r="M64" s="1773" t="s">
        <v>1262</v>
      </c>
      <c r="N64" s="1773" t="s">
        <v>1263</v>
      </c>
      <c r="O64" s="1773" t="s">
        <v>1264</v>
      </c>
      <c r="P64" s="1773" t="s">
        <v>1265</v>
      </c>
      <c r="Q64" s="1773" t="s">
        <v>1170</v>
      </c>
      <c r="R64" s="1773" t="s">
        <v>1266</v>
      </c>
      <c r="S64" s="1773" t="s">
        <v>1178</v>
      </c>
      <c r="T64" s="1773" t="s">
        <v>1173</v>
      </c>
      <c r="U64" s="1773"/>
      <c r="V64" s="1773"/>
    </row>
    <row r="65">
      <c r="D65" s="1773"/>
      <c r="E65" s="1798" t="s">
        <v>1181</v>
      </c>
      <c r="F65" s="1876">
        <f>SUMIF(F2:F59,"Thúy",E2:E59)</f>
      </c>
      <c r="G65" s="1885">
        <f>SUMIF(F2:F59,"Thúy",G2:G59)</f>
      </c>
      <c r="H65" s="1798">
        <f t="shared" si="7"/>
      </c>
      <c r="I65" s="1773"/>
      <c r="J65" s="1773" t="s">
        <v>1267</v>
      </c>
      <c r="K65" s="1773">
        <v>25</v>
      </c>
      <c r="L65" s="1773">
        <v>25</v>
      </c>
      <c r="M65" s="1773">
        <v>25</v>
      </c>
      <c r="N65" s="1773"/>
      <c r="O65" s="1773">
        <v>5</v>
      </c>
      <c r="P65" s="1773"/>
      <c r="T65">
        <f t="shared" ref="T65:T70" si="0">SUM(K65:S65)</f>
      </c>
    </row>
    <row r="66">
      <c r="D66" s="1773"/>
      <c r="E66" s="1883" t="s">
        <v>1178</v>
      </c>
      <c r="F66" s="1886">
        <f>SUMIF(F2:F59,"Ngân",E2:E59)</f>
      </c>
      <c r="G66" s="1887">
        <f>SUMIF(F2:F59,"Ngân",G2:G59)</f>
      </c>
      <c r="H66" s="1888">
        <f t="shared" si="7"/>
      </c>
      <c r="I66" s="1773"/>
      <c r="J66" s="1773" t="s">
        <v>1268</v>
      </c>
      <c r="L66" s="1773"/>
      <c r="N66" s="1773"/>
      <c r="O66" s="1773">
        <v>30</v>
      </c>
      <c r="P66" s="1773"/>
      <c r="S66" s="1773">
        <v>20</v>
      </c>
      <c r="T66">
        <f t="shared" si="0"/>
      </c>
    </row>
    <row customHeight="true" ht="16" r="67">
      <c r="D67" s="1799"/>
      <c r="E67" s="1889" t="s">
        <v>1269</v>
      </c>
      <c r="F67" s="1890">
        <f>SUMIF(F2:F59,"Bích",E2:E59)</f>
      </c>
      <c r="G67" s="1891">
        <f>SUMIF(F3:F59,"Bích",G3:G59)</f>
      </c>
      <c r="H67" s="1892">
        <f t="shared" si="7"/>
      </c>
      <c r="I67" s="1773"/>
      <c r="J67" s="1773" t="s">
        <v>1270</v>
      </c>
      <c r="M67" s="1773">
        <v>10</v>
      </c>
      <c r="Q67" s="1773"/>
      <c r="T67">
        <f t="shared" si="0"/>
      </c>
    </row>
    <row customHeight="true" ht="16" r="68">
      <c r="D68" s="1799"/>
      <c r="E68" s="1893" t="s">
        <v>1184</v>
      </c>
      <c r="F68" s="1894">
        <f>SUMIF(F3:F59,"Phương",E3:E59)</f>
      </c>
      <c r="G68" s="1894">
        <f>SUMIF(F4:F59,"Phương",G4:G59)</f>
      </c>
      <c r="H68" s="1895">
        <f t="shared" si="7"/>
      </c>
      <c r="I68" s="1773"/>
      <c r="J68" s="1773" t="s">
        <v>1271</v>
      </c>
      <c r="K68" s="1773">
        <v>10</v>
      </c>
      <c r="L68" s="1773"/>
      <c r="T68">
        <f t="shared" si="0"/>
      </c>
    </row>
    <row r="69">
      <c r="D69" s="1799"/>
      <c r="E69" s="1893" t="s">
        <v>1264</v>
      </c>
      <c r="F69" s="1894">
        <f>SUMIF(F4:F60,"Mai",E4:E60)</f>
      </c>
      <c r="G69" s="1894">
        <f>SUMIF(F4:F59,"Mai",G5:G60)</f>
      </c>
      <c r="H69" s="1895">
        <f t="shared" si="7"/>
      </c>
      <c r="I69" s="1773"/>
      <c r="J69" s="1773" t="s">
        <v>1272</v>
      </c>
      <c r="M69" s="1773"/>
      <c r="O69" s="1773"/>
      <c r="P69" s="1773">
        <v>35</v>
      </c>
      <c r="Q69" s="1773">
        <v>35</v>
      </c>
      <c r="R69" s="1773">
        <v>20</v>
      </c>
      <c r="S69" s="1773">
        <v>15</v>
      </c>
      <c r="T69">
        <f t="shared" si="0"/>
      </c>
    </row>
    <row r="70">
      <c r="D70" s="1773"/>
      <c r="E70" s="1896" t="s">
        <v>1185</v>
      </c>
      <c r="F70" s="1897">
        <f>SUM(F63:F69)</f>
      </c>
      <c r="G70" s="1897">
        <f>SUM(G63:G69)</f>
      </c>
      <c r="H70" s="1897">
        <f t="shared" si="7"/>
      </c>
      <c r="I70" s="1773"/>
      <c r="J70" s="1773" t="s">
        <v>1173</v>
      </c>
      <c r="K70">
        <f>SUM(K65:K69)</f>
      </c>
      <c r="L70">
        <f>SUM(L65:L69)</f>
      </c>
      <c r="M70">
        <f>SUM(M65:M69)</f>
      </c>
      <c r="N70">
        <f>SUM(N65:N69)</f>
      </c>
      <c r="O70">
        <f>SUM(O65:O69)</f>
      </c>
      <c r="P70">
        <f>SUM(P65:P69)</f>
      </c>
      <c r="Q70">
        <f>SUM(Q65:Q69)</f>
      </c>
      <c r="R70">
        <f>SUM(R65:R69)</f>
      </c>
      <c r="S70">
        <f>SUM(S65:S69)</f>
      </c>
      <c r="T70">
        <f t="shared" si="0"/>
      </c>
    </row>
    <row r="71">
      <c r="F71" s="1799"/>
      <c r="G71" s="1799"/>
      <c r="H71" s="1799"/>
      <c r="I71" s="1773"/>
      <c r="L71" s="1773"/>
      <c r="N71" s="1773"/>
    </row>
    <row r="72">
      <c r="J72" s="1773"/>
      <c r="K72" s="1773"/>
      <c r="L72" s="1773"/>
      <c r="M72" s="1773"/>
      <c r="N72" s="1773"/>
      <c r="O72" s="1773"/>
      <c r="P72" s="1773"/>
      <c r="Q72" s="1773"/>
      <c r="R72" s="1773"/>
      <c r="S72" s="1773"/>
      <c r="T72" s="1773"/>
    </row>
    <row r="73">
      <c r="J73" s="1773"/>
      <c r="K73" s="1773"/>
      <c r="L73" s="1773"/>
      <c r="M73" s="1773"/>
      <c r="N73" s="1773"/>
      <c r="O73" s="1773"/>
      <c r="P73" s="1773"/>
    </row>
    <row r="74">
      <c r="J74" s="1773"/>
      <c r="L74" s="1773"/>
      <c r="N74" s="1773"/>
      <c r="O74" s="1773"/>
      <c r="P74" s="1773"/>
      <c r="S74" s="1773"/>
    </row>
    <row r="75">
      <c r="J75" s="1773"/>
      <c r="M75" s="1773"/>
      <c r="Q75" s="1773"/>
    </row>
    <row r="76">
      <c r="J76" s="1773"/>
      <c r="K76" s="1773"/>
      <c r="L76" s="1773"/>
    </row>
    <row r="77">
      <c r="J77" s="1773"/>
      <c r="M77" s="1773"/>
      <c r="O77" s="1773"/>
      <c r="P77" s="1773"/>
      <c r="Q77" s="1773"/>
      <c r="R77" s="1773"/>
      <c r="S77" s="1773"/>
    </row>
    <row r="78">
      <c r="J78" s="1773"/>
    </row>
  </sheetData>
  <mergeCells>
    <mergeCell ref="B18:B22"/>
    <mergeCell ref="B7:B8"/>
    <mergeCell ref="A6:D6"/>
    <mergeCell ref="C17:D17"/>
    <mergeCell ref="I10:I15"/>
    <mergeCell ref="I2:I4"/>
    <mergeCell ref="C24:D24"/>
    <mergeCell ref="A2:A5"/>
    <mergeCell ref="B2:B5"/>
    <mergeCell ref="I49:I54"/>
    <mergeCell ref="A59:D59"/>
    <mergeCell ref="A58:D58"/>
    <mergeCell ref="A56:D56"/>
    <mergeCell ref="C55:D55"/>
    <mergeCell ref="C41:D41"/>
    <mergeCell ref="C47:D47"/>
    <mergeCell ref="A48:D48"/>
    <mergeCell ref="A7:A47"/>
  </mergeCells>
  <picture r:id="rId1"/>
</worksheet>
</file>

<file path=xl/worksheets/sheet2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3" min="3" style="0" width="22"/>
    <col collapsed="false" customWidth="true" hidden="false" max="7" min="7" style="0" width="11"/>
    <col collapsed="false" customWidth="true" hidden="false" max="11" min="11" style="0" width="15"/>
    <col collapsed="false" customWidth="true" hidden="false" max="15" min="15" style="0" width="15"/>
    <col collapsed="false" customWidth="true" hidden="false" max="19" min="19" style="0" width="15"/>
    <col collapsed="false" customWidth="true" hidden="false" max="22" min="22" style="0" width="11"/>
    <col collapsed="false" customWidth="true" hidden="false" max="2" min="2" style="0" width="22"/>
    <col collapsed="false" customWidth="true" hidden="false" max="6" min="6" style="0" width="11"/>
    <col collapsed="false" customWidth="true" hidden="false" max="10" min="10" style="0" width="15"/>
    <col collapsed="false" customWidth="true" hidden="false" max="14" min="14" style="0" width="15"/>
    <col collapsed="false" customWidth="true" hidden="false" max="18" min="18" style="0" width="15"/>
    <col collapsed="false" customWidth="true" hidden="false" max="21" min="21" style="0" width="11"/>
    <col collapsed="false" customWidth="true" hidden="false" max="1" min="1" style="0" width="22"/>
    <col collapsed="false" customWidth="true" hidden="false" max="5" min="5" style="0" width="11"/>
    <col collapsed="false" customWidth="true" hidden="false" max="9" min="9" style="0" width="18"/>
    <col collapsed="false" customWidth="true" hidden="false" max="13" min="13" style="0" width="15"/>
    <col collapsed="false" customWidth="true" hidden="false" max="17" min="17" style="0" width="15"/>
    <col collapsed="false" customWidth="true" hidden="false" max="4" min="4" style="0" width="29"/>
    <col collapsed="false" customWidth="true" hidden="false" max="8" min="8" style="0" width="11"/>
    <col collapsed="false" customWidth="true" hidden="false" max="12" min="12" style="0" width="15"/>
    <col collapsed="false" customWidth="true" hidden="false" max="16" min="16" style="0" width="15"/>
  </cols>
  <sheetData>
    <row r="1">
      <c r="A1" s="1898" t="s">
        <v>1273</v>
      </c>
      <c r="B1" s="1898" t="s">
        <v>1274</v>
      </c>
      <c r="C1" s="1899" t="s">
        <v>1275</v>
      </c>
      <c r="D1" s="1898" t="s">
        <v>1276</v>
      </c>
      <c r="E1" s="1900" t="s">
        <v>1277</v>
      </c>
      <c r="F1" s="1901" t="s">
        <v>1278</v>
      </c>
      <c r="G1" s="1898" t="s">
        <v>1279</v>
      </c>
      <c r="H1" s="1898" t="s">
        <v>1280</v>
      </c>
      <c r="I1" s="1902" t="s">
        <v>1281</v>
      </c>
      <c r="J1" s="1903"/>
    </row>
    <row customHeight="true" ht="24" r="2">
      <c r="A2" s="1904" t="s">
        <v>1282</v>
      </c>
      <c r="B2" s="1905" t="s">
        <v>1283</v>
      </c>
      <c r="C2" s="1906" t="s">
        <v>1284</v>
      </c>
      <c r="D2" s="1907" t="s">
        <v>1285</v>
      </c>
      <c r="E2" s="1908">
        <v>5</v>
      </c>
      <c r="F2" s="1909" t="s">
        <v>1286</v>
      </c>
      <c r="G2" s="1909">
        <v>3</v>
      </c>
      <c r="H2" s="1910">
        <f t="shared" ref="H2:H5" si="1">E2-G2</f>
      </c>
      <c r="I2" s="1911" t="s">
        <v>1287</v>
      </c>
    </row>
    <row customHeight="true" ht="20" r="3">
      <c r="A3" s="1904"/>
      <c r="B3" s="1905"/>
      <c r="C3" s="1912" t="s">
        <v>1288</v>
      </c>
      <c r="D3" s="1913" t="s">
        <v>1285</v>
      </c>
      <c r="E3" s="1914">
        <v>5</v>
      </c>
      <c r="F3" s="1915" t="s">
        <v>1289</v>
      </c>
      <c r="G3" s="1915"/>
      <c r="H3" s="1916">
        <f t="shared" si="1"/>
      </c>
      <c r="I3" s="1911"/>
    </row>
    <row customHeight="true" ht="112" r="4">
      <c r="A4" s="1904"/>
      <c r="B4" s="1905"/>
      <c r="C4" s="1917" t="s">
        <v>1290</v>
      </c>
      <c r="D4" s="1918" t="s">
        <v>1285</v>
      </c>
      <c r="E4" s="1919">
        <v>5</v>
      </c>
      <c r="F4" s="1920" t="s">
        <v>1289</v>
      </c>
      <c r="G4" s="1920">
        <v>2</v>
      </c>
      <c r="H4" s="1921">
        <f t="shared" si="1"/>
      </c>
      <c r="I4" s="1911"/>
    </row>
    <row customHeight="true" ht="20" r="5">
      <c r="A5" s="1904"/>
      <c r="B5" s="1905"/>
      <c r="C5" s="1904" t="s">
        <v>1291</v>
      </c>
      <c r="D5" s="1922" t="s">
        <v>1285</v>
      </c>
      <c r="E5" s="1923">
        <v>5</v>
      </c>
      <c r="F5" s="1924" t="s">
        <v>1292</v>
      </c>
      <c r="G5" s="1924"/>
      <c r="H5" s="1925">
        <f t="shared" si="1"/>
      </c>
      <c r="I5" s="1911"/>
    </row>
    <row customHeight="true" ht="16" r="6">
      <c r="A6" s="1926" t="s">
        <v>1293</v>
      </c>
      <c r="B6" s="1926"/>
      <c r="C6" s="1926"/>
      <c r="D6" s="1926"/>
      <c r="E6" s="1927">
        <f>SUM(E2:E5)</f>
      </c>
      <c r="F6" s="1928"/>
      <c r="G6" s="1928"/>
      <c r="H6" s="1927">
        <f>SUM(H2:H5)</f>
      </c>
      <c r="I6" s="1911"/>
      <c r="K6" s="1929"/>
    </row>
    <row r="7">
      <c r="A7" s="1917" t="s">
        <v>1294</v>
      </c>
      <c r="B7" s="1930" t="s">
        <v>1295</v>
      </c>
      <c r="C7" s="1917" t="s">
        <v>1296</v>
      </c>
      <c r="D7" s="1918" t="s">
        <v>1297</v>
      </c>
      <c r="E7" s="1919">
        <v>4</v>
      </c>
      <c r="F7" s="1920" t="s">
        <v>1286</v>
      </c>
      <c r="G7" s="1920">
        <v>4</v>
      </c>
      <c r="H7" s="1921">
        <f t="shared" ref="H7:H16" si="2">E7-G7</f>
      </c>
      <c r="I7" s="1911"/>
      <c r="K7" s="1929"/>
    </row>
    <row customHeight="true" ht="81" r="8">
      <c r="A8" s="1917"/>
      <c r="B8" s="1930"/>
      <c r="C8" s="1917" t="s">
        <v>1298</v>
      </c>
      <c r="D8" s="1918" t="s">
        <v>1297</v>
      </c>
      <c r="E8" s="1919">
        <v>2</v>
      </c>
      <c r="F8" s="1920" t="s">
        <v>1299</v>
      </c>
      <c r="G8" s="1920">
        <v>2</v>
      </c>
      <c r="H8" s="1921">
        <f t="shared" si="2"/>
      </c>
      <c r="I8" s="1911"/>
      <c r="K8" s="1929"/>
    </row>
    <row customHeight="true" hidden="true" ht="61" r="9">
      <c r="A9" s="1917"/>
      <c r="B9" s="1930"/>
      <c r="C9" s="1917"/>
      <c r="D9" s="1918"/>
      <c r="E9" s="1919"/>
      <c r="F9" s="1920"/>
      <c r="G9" s="1920"/>
      <c r="H9" s="1921">
        <f t="shared" si="2"/>
      </c>
      <c r="I9" s="1931"/>
      <c r="K9" s="1929"/>
    </row>
    <row customHeight="true" hidden="true" ht="70" r="10">
      <c r="A10" s="1917"/>
      <c r="B10" s="1930"/>
      <c r="C10" s="1917"/>
      <c r="D10" s="1918"/>
      <c r="E10" s="1919"/>
      <c r="F10" s="1920"/>
      <c r="G10" s="1920"/>
      <c r="H10" s="1921">
        <f t="shared" si="2"/>
      </c>
      <c r="I10" s="1931"/>
      <c r="K10" s="1929"/>
    </row>
    <row customHeight="true" hidden="true" ht="50" r="11">
      <c r="A11" s="1917"/>
      <c r="B11" s="1930"/>
      <c r="C11" s="1917"/>
      <c r="D11" s="1918"/>
      <c r="E11" s="1919"/>
      <c r="F11" s="1920"/>
      <c r="G11" s="1920"/>
      <c r="H11" s="1921">
        <f t="shared" si="2"/>
      </c>
      <c r="I11" s="1931"/>
      <c r="K11" s="1929"/>
    </row>
    <row customHeight="true" hidden="true" ht="50" r="12">
      <c r="A12" s="1917"/>
      <c r="B12" s="1930"/>
      <c r="C12" s="1917"/>
      <c r="D12" s="1918"/>
      <c r="E12" s="1919"/>
      <c r="F12" s="1920"/>
      <c r="G12" s="1920"/>
      <c r="H12" s="1921">
        <f t="shared" si="2"/>
      </c>
      <c r="I12" s="1931"/>
      <c r="K12" s="1929"/>
    </row>
    <row customHeight="true" hidden="true" ht="50" r="13">
      <c r="A13" s="1917"/>
      <c r="B13" s="1930"/>
      <c r="C13" s="1917"/>
      <c r="D13" s="1918"/>
      <c r="E13" s="1919"/>
      <c r="F13" s="1920"/>
      <c r="G13" s="1920"/>
      <c r="H13" s="1921">
        <f t="shared" si="2"/>
      </c>
      <c r="I13" s="1931"/>
      <c r="K13" s="1929"/>
    </row>
    <row customHeight="true" hidden="true" ht="50" r="14">
      <c r="A14" s="1917"/>
      <c r="B14" s="1930"/>
      <c r="C14" s="1917"/>
      <c r="D14" s="1918"/>
      <c r="E14" s="1919"/>
      <c r="F14" s="1920"/>
      <c r="G14" s="1920"/>
      <c r="H14" s="1921">
        <f t="shared" si="2"/>
      </c>
      <c r="I14" s="1931"/>
      <c r="K14" s="1929"/>
    </row>
    <row customHeight="true" hidden="true" ht="50" r="15">
      <c r="A15" s="1917"/>
      <c r="B15" s="1930"/>
      <c r="C15" s="1917"/>
      <c r="D15" s="1918"/>
      <c r="E15" s="1919"/>
      <c r="F15" s="1920"/>
      <c r="G15" s="1920"/>
      <c r="H15" s="1921">
        <f t="shared" si="2"/>
      </c>
      <c r="I15" s="1931"/>
      <c r="K15" s="1929"/>
    </row>
    <row customHeight="true" hidden="true" ht="50" r="16">
      <c r="A16" s="1917"/>
      <c r="B16" s="1930"/>
      <c r="C16" s="1917"/>
      <c r="D16" s="1918"/>
      <c r="E16" s="1919"/>
      <c r="F16" s="1920"/>
      <c r="G16" s="1920"/>
      <c r="H16" s="1921">
        <f t="shared" si="2"/>
      </c>
      <c r="I16" s="1911"/>
      <c r="K16" s="1929"/>
    </row>
    <row customHeight="true" ht="16" r="17">
      <c r="A17" s="1917"/>
      <c r="B17" s="1930"/>
      <c r="C17" s="1932" t="s">
        <v>1300</v>
      </c>
      <c r="D17" s="1932"/>
      <c r="E17" s="1933">
        <f>SUM(E7:E16)</f>
      </c>
      <c r="F17" s="1934"/>
      <c r="G17" s="1935"/>
      <c r="H17" s="1933">
        <f>SUM(H7:H16)</f>
      </c>
      <c r="I17" s="1936"/>
    </row>
    <row customHeight="true" ht="130" r="18">
      <c r="A18" s="1917"/>
      <c r="B18" s="1930" t="s">
        <v>1301</v>
      </c>
      <c r="C18" s="1937" t="s">
        <v>1302</v>
      </c>
      <c r="D18" s="1938" t="s">
        <v>1303</v>
      </c>
      <c r="E18" s="1939">
        <v>2</v>
      </c>
      <c r="F18" s="1940" t="s">
        <v>1292</v>
      </c>
      <c r="G18" s="1940">
        <v>2</v>
      </c>
      <c r="H18" s="1941">
        <f t="shared" ref="H18:H23" si="3">E18-G18</f>
      </c>
      <c r="I18" s="1911" t="s">
        <v>1304</v>
      </c>
    </row>
    <row customHeight="true" ht="81" r="19">
      <c r="A19" s="1917"/>
      <c r="B19" s="1930"/>
      <c r="C19" s="1942" t="s">
        <v>1305</v>
      </c>
      <c r="D19" s="1943" t="s">
        <v>1303</v>
      </c>
      <c r="E19" s="1944">
        <v>2</v>
      </c>
      <c r="F19" s="1945" t="s">
        <v>1292</v>
      </c>
      <c r="G19" s="1945">
        <v>2</v>
      </c>
      <c r="H19" s="1946">
        <f t="shared" si="3"/>
      </c>
      <c r="I19" s="1911"/>
    </row>
    <row customHeight="true" hidden="true" ht="44" r="20">
      <c r="A20" s="1917"/>
      <c r="B20" s="1930"/>
      <c r="C20" s="1947"/>
      <c r="D20" s="1948"/>
      <c r="E20" s="1949"/>
      <c r="F20" s="1950"/>
      <c r="G20" s="1950"/>
      <c r="H20" s="1951">
        <f t="shared" si="3"/>
      </c>
      <c r="I20" s="1911"/>
      <c r="J20" s="1911"/>
    </row>
    <row customHeight="true" ht="77" r="21">
      <c r="A21" s="1917"/>
      <c r="B21" s="1930"/>
      <c r="C21" s="1904" t="s">
        <v>1306</v>
      </c>
      <c r="D21" s="1952" t="s">
        <v>1303</v>
      </c>
      <c r="E21" s="1923">
        <v>3</v>
      </c>
      <c r="F21" s="1924" t="s">
        <v>1299</v>
      </c>
      <c r="G21" s="1924">
        <v>0</v>
      </c>
      <c r="H21" s="1925">
        <f t="shared" si="3"/>
      </c>
      <c r="I21" s="1911" t="s">
        <v>1307</v>
      </c>
    </row>
    <row customHeight="true" ht="75" r="22">
      <c r="A22" s="1917"/>
      <c r="B22" s="1930"/>
      <c r="C22" s="1953" t="s">
        <v>1308</v>
      </c>
      <c r="D22" s="1954" t="s">
        <v>1303</v>
      </c>
      <c r="E22" s="1919">
        <v>2</v>
      </c>
      <c r="F22" s="1920" t="s">
        <v>1299</v>
      </c>
      <c r="G22" s="1920">
        <v>2</v>
      </c>
      <c r="H22" s="1919">
        <f t="shared" si="3"/>
      </c>
      <c r="I22" s="1911" t="s">
        <v>1309</v>
      </c>
    </row>
    <row customHeight="true" ht="75" r="23">
      <c r="A23" s="1917"/>
      <c r="B23" s="1930"/>
      <c r="C23" s="1904" t="s">
        <v>1310</v>
      </c>
      <c r="D23" s="1952" t="s">
        <v>1303</v>
      </c>
      <c r="E23" s="1923">
        <v>2</v>
      </c>
      <c r="F23" s="1924" t="s">
        <v>1299</v>
      </c>
      <c r="G23" s="1924">
        <v>2</v>
      </c>
      <c r="H23" s="1923">
        <f t="shared" si="3"/>
      </c>
      <c r="I23" s="1911" t="s">
        <v>1311</v>
      </c>
    </row>
    <row customHeight="true" ht="16" r="24">
      <c r="A24" s="1917"/>
      <c r="B24" s="1930"/>
      <c r="C24" s="1932" t="s">
        <v>1300</v>
      </c>
      <c r="D24" s="1932"/>
      <c r="E24" s="1933">
        <f>SUM(E18:E23)</f>
      </c>
      <c r="F24" s="1934"/>
      <c r="G24" s="1935"/>
      <c r="H24" s="1933">
        <f>SUM(H18:H23)</f>
      </c>
      <c r="I24" s="1936"/>
    </row>
    <row customHeight="true" ht="76" r="25">
      <c r="A25" s="1917"/>
      <c r="B25" s="1905" t="s">
        <v>1312</v>
      </c>
      <c r="C25" s="1955" t="s">
        <v>1313</v>
      </c>
      <c r="D25" s="1956" t="s">
        <v>1314</v>
      </c>
      <c r="E25" s="1957">
        <v>3</v>
      </c>
      <c r="F25" s="1958" t="s">
        <v>1292</v>
      </c>
      <c r="G25" s="1958">
        <v>2</v>
      </c>
      <c r="H25" s="1959">
        <f t="shared" ref="H25:H29" si="4">E25-G25</f>
      </c>
      <c r="I25" s="1960"/>
      <c r="J25" s="1936"/>
    </row>
    <row customHeight="true" ht="84" r="26">
      <c r="A26" s="1917"/>
      <c r="B26" s="1905"/>
      <c r="C26" s="1904" t="s">
        <v>1315</v>
      </c>
      <c r="D26" s="1952" t="s">
        <v>1314</v>
      </c>
      <c r="E26" s="1923">
        <v>3</v>
      </c>
      <c r="F26" s="1924" t="s">
        <v>1286</v>
      </c>
      <c r="G26" s="1924">
        <v>3</v>
      </c>
      <c r="H26" s="1961">
        <f t="shared" si="4"/>
      </c>
      <c r="I26" s="1960"/>
      <c r="J26" s="1936"/>
    </row>
    <row customHeight="true" ht="56" r="27">
      <c r="A27" s="1917"/>
      <c r="B27" s="1905"/>
      <c r="C27" s="1942" t="s">
        <v>1316</v>
      </c>
      <c r="D27" s="1962" t="s">
        <v>1314</v>
      </c>
      <c r="E27" s="1944">
        <v>2</v>
      </c>
      <c r="F27" s="1945" t="s">
        <v>1292</v>
      </c>
      <c r="G27" s="1945"/>
      <c r="H27" s="1963">
        <f t="shared" si="4"/>
      </c>
      <c r="I27" s="1911"/>
      <c r="J27" s="1911"/>
    </row>
    <row customHeight="true" ht="53" r="28">
      <c r="A28" s="1917"/>
      <c r="B28" s="1905"/>
      <c r="C28" s="1964" t="s">
        <v>1317</v>
      </c>
      <c r="D28" s="1965" t="s">
        <v>1314</v>
      </c>
      <c r="E28" s="1966">
        <v>3</v>
      </c>
      <c r="F28" s="1967" t="s">
        <v>1292</v>
      </c>
      <c r="G28" s="1967">
        <v>3</v>
      </c>
      <c r="H28" s="1968">
        <f t="shared" si="4"/>
      </c>
      <c r="I28" s="1911"/>
      <c r="J28" s="1936"/>
    </row>
    <row customHeight="true" ht="57" r="29">
      <c r="A29" s="1917"/>
      <c r="B29" s="1905"/>
      <c r="C29" s="1969" t="s">
        <v>1318</v>
      </c>
      <c r="D29" s="1970" t="s">
        <v>1314</v>
      </c>
      <c r="E29" s="1971">
        <v>2</v>
      </c>
      <c r="F29" s="1972" t="s">
        <v>1299</v>
      </c>
      <c r="G29" s="1972">
        <v>2</v>
      </c>
      <c r="H29" s="1973">
        <f t="shared" si="4"/>
      </c>
      <c r="I29" s="1911" t="s">
        <v>1319</v>
      </c>
      <c r="J29" s="1911" t="s">
        <v>1320</v>
      </c>
    </row>
    <row customHeight="true" ht="57" r="30">
      <c r="A30" s="1917"/>
      <c r="B30" s="1905"/>
      <c r="C30" s="1969" t="s">
        <v>1321</v>
      </c>
      <c r="D30" s="1970" t="s">
        <v>1314</v>
      </c>
      <c r="E30" s="1971">
        <v>2</v>
      </c>
      <c r="F30" s="1972" t="s">
        <v>1292</v>
      </c>
      <c r="G30" s="1972"/>
      <c r="H30" s="1973"/>
      <c r="I30" s="1911"/>
      <c r="J30" s="1911"/>
    </row>
    <row customHeight="true" ht="102" r="31">
      <c r="A31" s="1917"/>
      <c r="B31" s="1905" t="s">
        <v>1322</v>
      </c>
      <c r="C31" s="1937" t="s">
        <v>1323</v>
      </c>
      <c r="D31" s="1974" t="s">
        <v>1324</v>
      </c>
      <c r="E31" s="1939">
        <v>12</v>
      </c>
      <c r="F31" s="1940" t="s">
        <v>1299</v>
      </c>
      <c r="G31" s="1940">
        <v>9</v>
      </c>
      <c r="H31" s="1975">
        <f t="shared" ref="H31:H41" si="5">E31-G31</f>
      </c>
      <c r="I31" s="1911"/>
      <c r="J31" s="1911"/>
    </row>
    <row customHeight="true" ht="55" r="32">
      <c r="A32" s="1917"/>
      <c r="B32" s="1905"/>
      <c r="C32" s="1906" t="s">
        <v>1325</v>
      </c>
      <c r="D32" s="1976" t="s">
        <v>1326</v>
      </c>
      <c r="E32" s="1908">
        <v>3</v>
      </c>
      <c r="F32" s="1909" t="s">
        <v>1286</v>
      </c>
      <c r="G32" s="1977">
        <v>2</v>
      </c>
      <c r="H32" s="1978">
        <f t="shared" si="5"/>
      </c>
      <c r="I32" s="1979" t="s">
        <v>1327</v>
      </c>
      <c r="J32" s="1911"/>
    </row>
    <row customHeight="true" ht="49" r="33">
      <c r="A33" s="1917"/>
      <c r="B33" s="1905" t="s">
        <v>1328</v>
      </c>
      <c r="C33" s="1912" t="s">
        <v>1329</v>
      </c>
      <c r="D33" s="1980" t="s">
        <v>1330</v>
      </c>
      <c r="E33" s="1914">
        <v>3</v>
      </c>
      <c r="F33" s="1915" t="s">
        <v>1292</v>
      </c>
      <c r="G33" s="1915"/>
      <c r="H33" s="1981">
        <f t="shared" si="5"/>
      </c>
      <c r="I33" s="1911"/>
      <c r="J33" s="1911"/>
    </row>
    <row customHeight="true" ht="57" r="34">
      <c r="A34" s="1917"/>
      <c r="B34" s="1905" t="s">
        <v>1331</v>
      </c>
      <c r="C34" s="1982" t="s">
        <v>1332</v>
      </c>
      <c r="D34" s="1983" t="s">
        <v>1333</v>
      </c>
      <c r="E34" s="1984">
        <v>3</v>
      </c>
      <c r="F34" s="1985" t="s">
        <v>1292</v>
      </c>
      <c r="G34" s="1985"/>
      <c r="H34" s="1984">
        <f t="shared" si="5"/>
      </c>
      <c r="I34" s="1911"/>
      <c r="J34" s="1936"/>
    </row>
    <row r="35">
      <c r="A35" s="1917"/>
      <c r="B35" s="1905" t="s">
        <v>1334</v>
      </c>
      <c r="C35" s="1986" t="s">
        <v>1335</v>
      </c>
      <c r="D35" s="1987" t="s">
        <v>1336</v>
      </c>
      <c r="E35" s="1988">
        <v>12</v>
      </c>
      <c r="F35" s="1989" t="s">
        <v>1337</v>
      </c>
      <c r="G35" s="1989">
        <v>15</v>
      </c>
      <c r="H35" s="1961">
        <f t="shared" si="5"/>
      </c>
      <c r="I35" s="1911"/>
      <c r="J35" s="1936"/>
    </row>
    <row customHeight="true" hidden="true" ht="16" r="36">
      <c r="A36" s="1917"/>
      <c r="B36" s="1905"/>
      <c r="C36" s="1990"/>
      <c r="D36" s="1991"/>
      <c r="E36" s="1992"/>
      <c r="F36" s="1993"/>
      <c r="G36" s="1993"/>
      <c r="H36" s="1963">
        <f t="shared" si="5"/>
      </c>
      <c r="I36" s="1936"/>
      <c r="J36" s="1936"/>
    </row>
    <row customHeight="true" hidden="true" ht="31" r="37">
      <c r="A37" s="1917"/>
      <c r="B37" s="1905"/>
      <c r="C37" s="1994"/>
      <c r="D37" s="1995"/>
      <c r="E37" s="1996"/>
      <c r="F37" s="1997"/>
      <c r="G37" s="1997"/>
      <c r="H37" s="1968">
        <f t="shared" si="5"/>
      </c>
      <c r="I37" s="1911"/>
      <c r="J37" s="1936"/>
    </row>
    <row customHeight="true" hidden="true" ht="31" r="38">
      <c r="A38" s="1917"/>
      <c r="B38" s="1905"/>
      <c r="C38" s="1998"/>
      <c r="D38" s="1999"/>
      <c r="E38" s="2000"/>
      <c r="F38" s="2001"/>
      <c r="G38" s="2001"/>
      <c r="H38" s="1973">
        <f t="shared" si="5"/>
      </c>
      <c r="I38" s="1911"/>
      <c r="J38" s="1936"/>
    </row>
    <row customHeight="true" hidden="true" ht="31" r="39">
      <c r="A39" s="1917"/>
      <c r="B39" s="1905"/>
      <c r="C39" s="2002"/>
      <c r="D39" s="2003"/>
      <c r="E39" s="2004"/>
      <c r="F39" s="2005"/>
      <c r="G39" s="2005"/>
      <c r="H39" s="1975">
        <f t="shared" si="5"/>
      </c>
      <c r="I39" s="1911"/>
      <c r="J39" s="1936"/>
    </row>
    <row customHeight="true" hidden="true" ht="56" r="40">
      <c r="A40" s="1917"/>
      <c r="B40" s="1905"/>
      <c r="C40" s="2006"/>
      <c r="D40" s="2007"/>
      <c r="E40" s="2008"/>
      <c r="F40" s="2009"/>
      <c r="G40" s="2009"/>
      <c r="H40" s="1981">
        <f t="shared" si="5"/>
      </c>
      <c r="I40" s="1911"/>
      <c r="J40" s="1936"/>
    </row>
    <row customHeight="true" hidden="true" ht="31" r="41">
      <c r="A41" s="1917"/>
      <c r="B41" s="1905"/>
      <c r="C41" s="1982"/>
      <c r="D41" s="1983"/>
      <c r="E41" s="1984"/>
      <c r="F41" s="1985"/>
      <c r="G41" s="1985"/>
      <c r="H41" s="2010">
        <f t="shared" si="5"/>
      </c>
      <c r="I41" s="1936"/>
      <c r="J41" s="1936"/>
    </row>
    <row customHeight="true" ht="15" r="42">
      <c r="A42" s="1917"/>
      <c r="B42" s="1905"/>
      <c r="C42" s="2011" t="s">
        <v>1300</v>
      </c>
      <c r="D42" s="2011"/>
      <c r="E42" s="2012">
        <f>SUM(E25:E41)</f>
      </c>
      <c r="F42" s="2013"/>
      <c r="G42" s="2014"/>
      <c r="H42" s="2012">
        <f>SUM(H25:H34)</f>
      </c>
      <c r="I42" s="1936"/>
      <c r="J42" s="1936"/>
    </row>
    <row customHeight="true" hidden="true" ht="78" r="43">
      <c r="A43" s="1917"/>
      <c r="B43" s="1930"/>
      <c r="C43" s="2015"/>
      <c r="D43" s="1948"/>
      <c r="E43" s="1949"/>
      <c r="F43" s="1950"/>
      <c r="G43" s="1950"/>
      <c r="H43" s="1951">
        <f t="shared" ref="H43:H47" si="6">E43-G43</f>
      </c>
      <c r="I43" s="1911"/>
    </row>
    <row customHeight="true" hidden="true" ht="79" r="44">
      <c r="A44" s="1917"/>
      <c r="B44" s="1930"/>
      <c r="C44" s="2016"/>
      <c r="D44" s="1913"/>
      <c r="E44" s="2008"/>
      <c r="F44" s="2009"/>
      <c r="G44" s="2009"/>
      <c r="H44" s="1981">
        <f t="shared" si="6"/>
      </c>
      <c r="I44" s="1911"/>
    </row>
    <row customHeight="true" hidden="true" ht="99" r="45">
      <c r="A45" s="1917"/>
      <c r="B45" s="1930"/>
      <c r="C45" s="2017"/>
      <c r="D45" s="1918"/>
      <c r="E45" s="1984"/>
      <c r="F45" s="1985"/>
      <c r="G45" s="1985"/>
      <c r="H45" s="2010">
        <f t="shared" si="6"/>
      </c>
      <c r="I45" s="1911"/>
    </row>
    <row customHeight="true" hidden="true" ht="60" r="46">
      <c r="A46" s="1917"/>
      <c r="B46" s="1930"/>
      <c r="C46" s="1986"/>
      <c r="D46" s="1987"/>
      <c r="E46" s="1988"/>
      <c r="F46" s="1989"/>
      <c r="G46" s="1989"/>
      <c r="H46" s="1961">
        <f t="shared" si="6"/>
      </c>
      <c r="I46" s="1911"/>
    </row>
    <row customHeight="true" hidden="true" ht="54" r="47">
      <c r="A47" s="1917"/>
      <c r="B47" s="1930"/>
      <c r="C47" s="1990"/>
      <c r="D47" s="1991"/>
      <c r="E47" s="1992"/>
      <c r="F47" s="1993"/>
      <c r="G47" s="1993"/>
      <c r="H47" s="1963">
        <f t="shared" si="6"/>
      </c>
      <c r="I47" s="1911" t="s">
        <v>1338</v>
      </c>
    </row>
    <row customHeight="true" ht="13" r="48">
      <c r="A48" s="1917"/>
      <c r="B48" s="1930"/>
      <c r="C48" s="2011" t="s">
        <v>1300</v>
      </c>
      <c r="D48" s="2011"/>
      <c r="E48" s="2012">
        <f>SUM(E43:E47)</f>
      </c>
      <c r="F48" s="2013"/>
      <c r="G48" s="2014"/>
      <c r="H48" s="2012">
        <f>SUM(H43:H47)</f>
      </c>
      <c r="I48" s="1936"/>
    </row>
    <row customHeight="true" ht="16" r="49">
      <c r="A49" s="1926" t="s">
        <v>1293</v>
      </c>
      <c r="B49" s="1926"/>
      <c r="C49" s="1926"/>
      <c r="D49" s="1926"/>
      <c r="E49" s="1927">
        <f>SUM(E17,E24,E42,E48)</f>
      </c>
      <c r="F49" s="1928"/>
      <c r="G49" s="2018"/>
      <c r="H49" s="1927">
        <f>SUM(H17,H24,H42,H48)</f>
      </c>
      <c r="I49" s="1936"/>
      <c r="J49" s="1911"/>
    </row>
    <row customHeight="true" ht="185" r="50">
      <c r="A50" s="1937" t="s">
        <v>1339</v>
      </c>
      <c r="B50" s="1930" t="s">
        <v>1340</v>
      </c>
      <c r="C50" s="1980" t="s">
        <v>1341</v>
      </c>
      <c r="D50" s="1962" t="s">
        <v>1342</v>
      </c>
      <c r="E50" s="1944">
        <v>35</v>
      </c>
      <c r="F50" s="1945" t="s">
        <v>1343</v>
      </c>
      <c r="G50" s="1945"/>
      <c r="H50" s="1963">
        <f t="shared" ref="H50:H55" si="7">E50-G50</f>
      </c>
      <c r="I50" s="1931" t="s">
        <v>1344</v>
      </c>
      <c r="J50" s="1960"/>
    </row>
    <row customHeight="true" hidden="true" ht="43" r="51">
      <c r="A51" s="1937"/>
      <c r="B51" s="1930"/>
      <c r="C51" s="1912"/>
      <c r="D51" s="1962"/>
      <c r="E51" s="1944"/>
      <c r="F51" s="1924"/>
      <c r="G51" s="1924"/>
      <c r="H51" s="1961">
        <f t="shared" si="7"/>
      </c>
      <c r="I51" s="1931"/>
    </row>
    <row customHeight="true" hidden="true" ht="41" r="52">
      <c r="A52" s="1937"/>
      <c r="B52" s="1930"/>
      <c r="C52" s="1912"/>
      <c r="D52" s="1962"/>
      <c r="E52" s="1944"/>
      <c r="F52" s="1993"/>
      <c r="G52" s="1993"/>
      <c r="H52" s="1963">
        <f t="shared" si="7"/>
      </c>
      <c r="I52" s="1931"/>
    </row>
    <row customHeight="true" hidden="true" ht="41" r="53">
      <c r="A53" s="1937"/>
      <c r="B53" s="1930"/>
      <c r="C53" s="1912"/>
      <c r="D53" s="1962"/>
      <c r="E53" s="1944"/>
      <c r="F53" s="2005"/>
      <c r="G53" s="2005"/>
      <c r="H53" s="1975">
        <f t="shared" si="7"/>
      </c>
      <c r="I53" s="1931"/>
      <c r="J53" s="1911"/>
    </row>
    <row customHeight="true" hidden="true" ht="41" r="54">
      <c r="A54" s="1937"/>
      <c r="B54" s="1930"/>
      <c r="C54" s="1912"/>
      <c r="D54" s="1962"/>
      <c r="E54" s="1944"/>
      <c r="F54" s="2019"/>
      <c r="G54" s="2019"/>
      <c r="H54" s="1959">
        <f t="shared" si="7"/>
      </c>
      <c r="I54" s="1931"/>
      <c r="J54" s="1911"/>
    </row>
    <row customHeight="true" hidden="true" ht="41" r="55">
      <c r="A55" s="1937"/>
      <c r="B55" s="1930"/>
      <c r="C55" s="1912"/>
      <c r="D55" s="1962"/>
      <c r="E55" s="1944"/>
      <c r="F55" s="2009"/>
      <c r="G55" s="2009"/>
      <c r="H55" s="1981">
        <f t="shared" si="7"/>
      </c>
      <c r="I55" s="1931"/>
      <c r="J55" s="1911"/>
    </row>
    <row customHeight="true" ht="16" r="56">
      <c r="A56" s="1937"/>
      <c r="B56" s="1930"/>
      <c r="C56" s="2011" t="s">
        <v>1300</v>
      </c>
      <c r="D56" s="2011"/>
      <c r="E56" s="2012">
        <f>SUM(E50:E55)</f>
      </c>
      <c r="F56" s="2013"/>
      <c r="G56" s="2014"/>
      <c r="H56" s="2012">
        <f>SUM(H50:H55)</f>
      </c>
    </row>
    <row customHeight="true" ht="16" r="57">
      <c r="A57" s="1926" t="s">
        <v>1293</v>
      </c>
      <c r="B57" s="1926"/>
      <c r="C57" s="1926"/>
      <c r="D57" s="1926"/>
      <c r="E57" s="1927">
        <f>SUM(E56)</f>
      </c>
      <c r="F57" s="1928"/>
      <c r="G57" s="2018"/>
      <c r="H57" s="1927">
        <f>SUM(H56)</f>
      </c>
      <c r="I57" s="1936"/>
    </row>
    <row customHeight="true" hidden="true" ht="100" r="58">
      <c r="A58" s="1969" t="s">
        <v>1345</v>
      </c>
      <c r="B58" s="1930" t="s">
        <v>1322</v>
      </c>
      <c r="C58" s="1969" t="s">
        <v>1346</v>
      </c>
      <c r="D58" s="1970" t="s">
        <v>1347</v>
      </c>
      <c r="E58" s="1971"/>
      <c r="F58" s="1972"/>
      <c r="G58" s="1972"/>
      <c r="H58" s="1973">
        <f>E58-G58</f>
      </c>
      <c r="I58" s="1936"/>
      <c r="J58" s="1936"/>
    </row>
    <row customHeight="true" ht="17" r="59">
      <c r="A59" s="1926" t="s">
        <v>1293</v>
      </c>
      <c r="B59" s="1926"/>
      <c r="C59" s="1926"/>
      <c r="D59" s="1926"/>
      <c r="E59" s="1927">
        <f>SUM(E58)</f>
      </c>
      <c r="F59" s="1928"/>
      <c r="G59" s="2018"/>
      <c r="H59" s="1927">
        <f>SUM(H58)</f>
      </c>
      <c r="I59" s="1936"/>
      <c r="J59" s="1936"/>
    </row>
    <row customHeight="true" ht="16" r="60">
      <c r="A60" s="1927" t="s">
        <v>1300</v>
      </c>
      <c r="B60" s="1927"/>
      <c r="C60" s="1927"/>
      <c r="D60" s="1927"/>
      <c r="E60" s="1927">
        <f>SUM(E6,E49,E57,E59)</f>
      </c>
      <c r="F60" s="1928"/>
      <c r="G60" s="2020"/>
      <c r="H60" s="1927">
        <f>SUM(H6,H49,H57,H59)</f>
      </c>
      <c r="I60" s="1911"/>
      <c r="J60" s="1936"/>
    </row>
    <row customHeight="true" ht="16" r="61">
      <c r="B61" s="1936"/>
      <c r="C61" s="1936"/>
      <c r="D61" s="1936"/>
      <c r="E61" s="1936"/>
      <c r="F61" s="1911"/>
      <c r="G61" s="1911"/>
      <c r="H61" s="1911"/>
      <c r="I61" s="1936"/>
      <c r="J61" s="1936"/>
    </row>
    <row customHeight="true" ht="16" r="62">
      <c r="B62" s="1936"/>
      <c r="C62" s="1936"/>
      <c r="D62" s="1936"/>
      <c r="E62" s="1936"/>
      <c r="F62" s="1911"/>
      <c r="G62" s="1911"/>
      <c r="H62" s="1911"/>
      <c r="I62" s="1936"/>
      <c r="J62" s="1911"/>
      <c r="K62" s="1911"/>
      <c r="L62" s="1911"/>
      <c r="M62" s="1911"/>
      <c r="N62" s="1911"/>
      <c r="O62" s="1911"/>
      <c r="P62" s="1911"/>
    </row>
    <row r="63">
      <c r="D63" s="1936"/>
      <c r="E63" s="1935" t="s">
        <v>1348</v>
      </c>
      <c r="F63" s="2021" t="s">
        <v>1277</v>
      </c>
      <c r="G63" s="2021" t="s">
        <v>1349</v>
      </c>
      <c r="H63" s="2021" t="s">
        <v>1280</v>
      </c>
      <c r="I63" s="1911"/>
      <c r="J63" s="1911"/>
      <c r="M63" s="1911"/>
    </row>
    <row r="64">
      <c r="D64" s="1936"/>
      <c r="E64" s="2022" t="s">
        <v>1289</v>
      </c>
      <c r="F64" s="2023">
        <f>SUMIF(F2:F60,"Huyền",E2:E60)</f>
      </c>
      <c r="G64" s="2023">
        <f>SUMIF(F2:F60,"Huyền",G2:G60)</f>
      </c>
      <c r="H64" s="2023">
        <f t="shared" ref="H64:H71" si="8">F64-G64</f>
      </c>
      <c r="I64" s="1911"/>
      <c r="J64" s="1911"/>
    </row>
    <row r="65">
      <c r="D65" s="1911"/>
      <c r="E65" s="2021" t="s">
        <v>1343</v>
      </c>
      <c r="F65" s="1935">
        <f>SUMIF(F2:F60,"Hoa",E2:E60)</f>
      </c>
      <c r="G65" s="2023">
        <f>SUMIF(F2:F60,"Hoa",G2:G60)</f>
      </c>
      <c r="H65" s="1935">
        <f t="shared" si="8"/>
      </c>
      <c r="I65" s="1911"/>
      <c r="J65" s="1911"/>
      <c r="K65" s="1911" t="s">
        <v>1350</v>
      </c>
      <c r="L65" s="1911" t="s">
        <v>1351</v>
      </c>
      <c r="M65" s="1911" t="s">
        <v>1352</v>
      </c>
      <c r="N65" s="1911" t="s">
        <v>1353</v>
      </c>
      <c r="O65" s="1911" t="s">
        <v>1354</v>
      </c>
      <c r="P65" s="1911" t="s">
        <v>1355</v>
      </c>
      <c r="Q65" s="1911" t="s">
        <v>1343</v>
      </c>
      <c r="R65" s="1911" t="s">
        <v>1356</v>
      </c>
      <c r="S65" s="1911" t="s">
        <v>1357</v>
      </c>
      <c r="T65" s="1911" t="s">
        <v>1293</v>
      </c>
      <c r="U65" s="1911"/>
      <c r="V65" s="1911"/>
    </row>
    <row r="66">
      <c r="D66" s="1911"/>
      <c r="E66" s="1935" t="s">
        <v>1299</v>
      </c>
      <c r="F66" s="2014">
        <f>SUMIF(F2:F60,"Thúy",E2:E60)</f>
      </c>
      <c r="G66" s="2023">
        <f>SUMIF(F2:F60,"Thúy",G2:G60)</f>
      </c>
      <c r="H66" s="1935">
        <f t="shared" si="8"/>
      </c>
      <c r="I66" s="1911"/>
      <c r="J66" s="1911" t="s">
        <v>1358</v>
      </c>
      <c r="K66" s="1911">
        <v>20</v>
      </c>
      <c r="L66" s="1911">
        <v>30</v>
      </c>
      <c r="M66" s="1911">
        <v>20</v>
      </c>
      <c r="N66" s="1911">
        <v>10</v>
      </c>
      <c r="O66" s="1911"/>
      <c r="P66" s="1911"/>
      <c r="S66" s="1911"/>
      <c r="T66">
        <f t="shared" ref="T66:T71" si="0">SUM(K66:S66)</f>
      </c>
    </row>
    <row r="67">
      <c r="D67" s="1911"/>
      <c r="E67" s="2021" t="s">
        <v>1286</v>
      </c>
      <c r="F67" s="2024">
        <f>SUMIF(F2:F60,"Ngân",E2:E60)</f>
      </c>
      <c r="G67" s="2025">
        <f>SUMIF(F2:F60,"Ngân",G2:G60)</f>
      </c>
      <c r="H67" s="2026">
        <f t="shared" si="8"/>
      </c>
      <c r="I67" s="1911"/>
      <c r="J67" s="1911" t="s">
        <v>1359</v>
      </c>
      <c r="L67" s="1911"/>
      <c r="O67" s="1911">
        <v>33</v>
      </c>
      <c r="P67" s="1911"/>
      <c r="S67" s="1911">
        <v>17</v>
      </c>
      <c r="T67">
        <f t="shared" si="0"/>
      </c>
    </row>
    <row customHeight="true" ht="16" r="68">
      <c r="D68" s="1936"/>
      <c r="E68" s="2027" t="s">
        <v>1337</v>
      </c>
      <c r="F68" s="2028">
        <f>SUMIF(F2:F60,"Bích",E2:E60)</f>
      </c>
      <c r="G68" s="2029">
        <f>SUMIF(F3:F60,"Bích",G3:G60)</f>
      </c>
      <c r="H68" s="2030">
        <f t="shared" si="8"/>
      </c>
      <c r="I68" s="1911"/>
      <c r="J68" s="1911" t="s">
        <v>1360</v>
      </c>
      <c r="M68" s="1911"/>
      <c r="P68" s="1911">
        <v>10</v>
      </c>
      <c r="Q68" s="1911"/>
      <c r="T68">
        <f t="shared" si="0"/>
      </c>
    </row>
    <row customHeight="true" ht="16" r="69">
      <c r="D69" s="1936"/>
      <c r="E69" s="2031" t="s">
        <v>1292</v>
      </c>
      <c r="F69" s="2032">
        <f>SUMIF(F3:F60,"Phương",E3:E60)</f>
      </c>
      <c r="G69" s="2032">
        <f>SUMIF(F4:F60,"Phương",G4:G60)</f>
      </c>
      <c r="H69" s="2033">
        <f t="shared" si="8"/>
      </c>
      <c r="I69" s="1911"/>
      <c r="J69" s="1911" t="s">
        <v>1361</v>
      </c>
      <c r="K69" s="1911">
        <v>10</v>
      </c>
      <c r="L69" s="1911"/>
      <c r="T69">
        <f t="shared" si="0"/>
      </c>
    </row>
    <row r="70">
      <c r="D70" s="1936"/>
      <c r="E70" s="2031" t="s">
        <v>1354</v>
      </c>
      <c r="F70" s="2032">
        <f>SUMIF(F4:F61,"Mai",E4:E61)</f>
      </c>
      <c r="G70" s="2032">
        <f>SUMIF(F4:F60,"Mai",G5:G61)</f>
      </c>
      <c r="H70" s="2033">
        <f t="shared" si="8"/>
      </c>
      <c r="I70" s="1911"/>
      <c r="J70" s="1911" t="s">
        <v>1362</v>
      </c>
      <c r="M70" s="1911">
        <v>12</v>
      </c>
      <c r="O70" s="1911"/>
      <c r="P70" s="1911">
        <v>23</v>
      </c>
      <c r="Q70" s="1911">
        <v>35</v>
      </c>
      <c r="R70" s="1911">
        <v>25</v>
      </c>
      <c r="S70" s="1911">
        <v>15</v>
      </c>
      <c r="T70">
        <f t="shared" si="0"/>
      </c>
    </row>
    <row r="71">
      <c r="D71" s="1911"/>
      <c r="E71" s="2034" t="s">
        <v>1300</v>
      </c>
      <c r="F71" s="2035">
        <f>SUM(F64:F70)</f>
      </c>
      <c r="G71" s="2035">
        <f>SUM(G64:G70)</f>
      </c>
      <c r="H71" s="2035">
        <f t="shared" si="8"/>
      </c>
      <c r="I71" s="1911"/>
      <c r="J71" s="1911" t="s">
        <v>1293</v>
      </c>
      <c r="K71">
        <f>SUM(K66:K70)</f>
      </c>
      <c r="L71">
        <f>SUM(L66:L70)</f>
      </c>
      <c r="M71">
        <f>SUM(M66:M70)</f>
      </c>
      <c r="N71">
        <f>SUM(N66:N70)</f>
      </c>
      <c r="O71">
        <f>SUM(O66:O70)</f>
      </c>
      <c r="P71">
        <f>SUM(P66:P70)</f>
      </c>
      <c r="Q71">
        <f>SUM(Q66:Q70)</f>
      </c>
      <c r="R71">
        <f>SUM(R66:R70)</f>
      </c>
      <c r="S71">
        <f>SUM(S66:S70)</f>
      </c>
      <c r="T71">
        <f t="shared" si="0"/>
      </c>
    </row>
    <row r="72">
      <c r="F72" s="1936"/>
      <c r="G72" s="1936"/>
      <c r="H72" s="1936"/>
      <c r="I72" s="1911"/>
      <c r="L72" s="1911"/>
      <c r="N72" s="1911"/>
    </row>
    <row r="73">
      <c r="J73" s="1911"/>
      <c r="K73" s="1911"/>
      <c r="L73" s="1911"/>
      <c r="M73" s="1911"/>
      <c r="N73" s="1911"/>
      <c r="O73" s="1911"/>
      <c r="P73" s="1911"/>
      <c r="Q73" s="1911"/>
      <c r="R73" s="1911"/>
      <c r="S73" s="1911"/>
      <c r="T73" s="1911"/>
    </row>
    <row r="74">
      <c r="J74" s="1911"/>
      <c r="K74" s="1911"/>
      <c r="L74" s="1911"/>
      <c r="M74" s="1911"/>
      <c r="N74" s="1911"/>
      <c r="O74" s="1911"/>
      <c r="P74" s="1911"/>
    </row>
    <row r="75">
      <c r="J75" s="1911"/>
      <c r="L75" s="1911"/>
      <c r="N75" s="1911"/>
      <c r="O75" s="1911"/>
      <c r="P75" s="1911"/>
      <c r="S75" s="1911"/>
    </row>
    <row r="76">
      <c r="J76" s="1911"/>
      <c r="M76" s="1911"/>
      <c r="Q76" s="1911"/>
    </row>
    <row r="77">
      <c r="J77" s="1911"/>
      <c r="K77" s="1911"/>
      <c r="L77" s="1911"/>
    </row>
    <row r="78">
      <c r="J78" s="1911"/>
      <c r="M78" s="1911"/>
      <c r="O78" s="1911"/>
      <c r="P78" s="1911"/>
      <c r="Q78" s="1911"/>
      <c r="R78" s="1911"/>
      <c r="S78" s="1911"/>
    </row>
    <row r="79">
      <c r="J79" s="1911"/>
    </row>
  </sheetData>
  <mergeCells>
    <mergeCell ref="I50:I55"/>
    <mergeCell ref="A60:D60"/>
    <mergeCell ref="A59:D59"/>
    <mergeCell ref="A57:D57"/>
    <mergeCell ref="C56:D56"/>
    <mergeCell ref="C42:D42"/>
    <mergeCell ref="C48:D48"/>
    <mergeCell ref="A49:D49"/>
    <mergeCell ref="A7:A48"/>
    <mergeCell ref="B31:B32"/>
    <mergeCell ref="B25:B29"/>
    <mergeCell ref="B18:B23"/>
    <mergeCell ref="B2:B5"/>
    <mergeCell ref="A2:A5"/>
    <mergeCell ref="C24:D24"/>
    <mergeCell ref="I2:I4"/>
    <mergeCell ref="I10:I15"/>
    <mergeCell ref="C17:D17"/>
    <mergeCell ref="A6:D6"/>
    <mergeCell ref="B7:B8"/>
  </mergeCells>
  <picture r:id="rId1"/>
</worksheet>
</file>

<file path=xl/worksheets/sheet2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3" min="3" style="0" width="22"/>
    <col collapsed="false" customWidth="true" hidden="false" max="7" min="7" style="0" width="11"/>
    <col collapsed="false" customWidth="true" hidden="false" max="11" min="11" style="0" width="8"/>
    <col collapsed="false" customWidth="true" hidden="false" max="15" min="15" style="0" width="7"/>
    <col collapsed="false" customWidth="true" hidden="false" max="19" min="19" style="0" width="10"/>
    <col collapsed="false" customWidth="true" hidden="false" max="2" min="2" style="0" width="22"/>
    <col collapsed="false" customWidth="true" hidden="false" max="6" min="6" style="0" width="11"/>
    <col collapsed="false" customWidth="true" hidden="false" max="10" min="10" style="0" width="5"/>
    <col collapsed="false" customWidth="true" hidden="false" max="14" min="14" style="0" width="7"/>
    <col collapsed="false" customWidth="true" hidden="false" max="18" min="18" style="0" width="7"/>
    <col collapsed="false" customWidth="true" hidden="false" max="22" min="22" style="0" width="11"/>
    <col collapsed="false" customWidth="true" hidden="false" max="1" min="1" style="0" width="22"/>
    <col collapsed="false" customWidth="true" hidden="false" max="5" min="5" style="0" width="11"/>
    <col collapsed="false" customWidth="true" hidden="false" max="9" min="9" style="0" width="18"/>
    <col collapsed="false" customWidth="true" hidden="false" max="13" min="13" style="0" width="7"/>
    <col collapsed="false" customWidth="true" hidden="false" max="17" min="17" style="0" width="6"/>
    <col collapsed="false" customWidth="true" hidden="false" max="21" min="21" style="0" width="11"/>
    <col collapsed="false" customWidth="true" hidden="false" max="4" min="4" style="0" width="29"/>
    <col collapsed="false" customWidth="true" hidden="false" max="8" min="8" style="0" width="11"/>
    <col collapsed="false" customWidth="true" hidden="false" max="12" min="12" style="0" width="7"/>
    <col collapsed="false" customWidth="true" hidden="false" max="16" min="16" style="0" width="6"/>
  </cols>
  <sheetData>
    <row r="1">
      <c r="A1" s="2036" t="s">
        <v>1363</v>
      </c>
      <c r="B1" s="2036" t="s">
        <v>1364</v>
      </c>
      <c r="C1" s="2037" t="s">
        <v>1365</v>
      </c>
      <c r="D1" s="2036" t="s">
        <v>1366</v>
      </c>
      <c r="E1" s="2038" t="s">
        <v>1367</v>
      </c>
      <c r="F1" s="2039" t="s">
        <v>1368</v>
      </c>
      <c r="G1" s="2036" t="s">
        <v>1369</v>
      </c>
      <c r="H1" s="2036" t="s">
        <v>1370</v>
      </c>
      <c r="I1" s="2040" t="s">
        <v>1371</v>
      </c>
      <c r="J1" s="2041"/>
    </row>
    <row customHeight="true" ht="32" r="2">
      <c r="A2" s="2042" t="s">
        <v>1372</v>
      </c>
      <c r="B2" s="2043" t="s">
        <v>1373</v>
      </c>
      <c r="C2" s="2044" t="s">
        <v>1374</v>
      </c>
      <c r="D2" s="2045" t="s">
        <v>1375</v>
      </c>
      <c r="E2" s="2046">
        <v>5</v>
      </c>
      <c r="F2" s="2047" t="s">
        <v>1376</v>
      </c>
      <c r="G2" s="2047">
        <v>1</v>
      </c>
      <c r="H2" s="2048">
        <f t="shared" ref="H2:H5" si="1">E2-G2</f>
      </c>
      <c r="I2" s="2049" t="s">
        <v>1377</v>
      </c>
    </row>
    <row customHeight="true" ht="30" r="3">
      <c r="A3" s="2042"/>
      <c r="B3" s="2043"/>
      <c r="C3" s="2050" t="s">
        <v>1378</v>
      </c>
      <c r="D3" s="2051" t="s">
        <v>1375</v>
      </c>
      <c r="E3" s="2052">
        <v>5</v>
      </c>
      <c r="F3" s="2053" t="s">
        <v>1379</v>
      </c>
      <c r="G3" s="2053">
        <v>3</v>
      </c>
      <c r="H3" s="2054">
        <f t="shared" si="1"/>
      </c>
      <c r="I3" s="2049"/>
    </row>
    <row customHeight="true" ht="112" r="4">
      <c r="A4" s="2042"/>
      <c r="B4" s="2043"/>
      <c r="C4" s="2055" t="s">
        <v>1380</v>
      </c>
      <c r="D4" s="2056" t="s">
        <v>1381</v>
      </c>
      <c r="E4" s="2057">
        <v>5</v>
      </c>
      <c r="F4" s="2058" t="s">
        <v>1379</v>
      </c>
      <c r="G4" s="2058">
        <v>3</v>
      </c>
      <c r="H4" s="2059">
        <f t="shared" si="1"/>
      </c>
      <c r="I4" s="2049"/>
    </row>
    <row customHeight="true" ht="30" r="5">
      <c r="A5" s="2042"/>
      <c r="B5" s="2043"/>
      <c r="C5" s="2042" t="s">
        <v>1382</v>
      </c>
      <c r="D5" s="2060" t="s">
        <v>1375</v>
      </c>
      <c r="E5" s="2061">
        <v>5</v>
      </c>
      <c r="F5" s="2062" t="s">
        <v>1383</v>
      </c>
      <c r="G5" s="2062">
        <v>3</v>
      </c>
      <c r="H5" s="2063">
        <f t="shared" si="1"/>
      </c>
      <c r="I5" s="2049"/>
    </row>
    <row customHeight="true" ht="16" r="6">
      <c r="A6" s="2064" t="s">
        <v>1384</v>
      </c>
      <c r="B6" s="2064"/>
      <c r="C6" s="2064"/>
      <c r="D6" s="2064"/>
      <c r="E6" s="2065">
        <f>SUM(E2:E5)</f>
      </c>
      <c r="F6" s="2066"/>
      <c r="G6" s="2066"/>
      <c r="H6" s="2065">
        <f>SUM(H2:H5)</f>
      </c>
      <c r="I6" s="2049"/>
      <c r="K6" s="2067"/>
    </row>
    <row r="7">
      <c r="A7" s="2055" t="s">
        <v>1385</v>
      </c>
      <c r="B7" s="2068" t="s">
        <v>1386</v>
      </c>
      <c r="C7" s="2055" t="s">
        <v>1387</v>
      </c>
      <c r="D7" s="2056" t="s">
        <v>1388</v>
      </c>
      <c r="E7" s="2057">
        <v>2</v>
      </c>
      <c r="F7" s="2058" t="s">
        <v>1376</v>
      </c>
      <c r="G7" s="2058">
        <v>3</v>
      </c>
      <c r="H7" s="2059">
        <f t="shared" ref="H7:H16" si="2">E7-G7</f>
      </c>
      <c r="I7" s="2049"/>
      <c r="K7" s="2067"/>
    </row>
    <row customHeight="true" ht="81" r="8">
      <c r="A8" s="2055"/>
      <c r="B8" s="2068"/>
      <c r="C8" s="2055" t="s">
        <v>1389</v>
      </c>
      <c r="D8" s="2056"/>
      <c r="E8" s="2057">
        <v>2</v>
      </c>
      <c r="F8" s="2058" t="s">
        <v>1376</v>
      </c>
      <c r="G8" s="2058">
        <v>2</v>
      </c>
      <c r="H8" s="2059">
        <f t="shared" si="2"/>
      </c>
      <c r="I8" s="2049"/>
      <c r="K8" s="2067"/>
    </row>
    <row customHeight="true" ht="61" r="9">
      <c r="A9" s="2055"/>
      <c r="B9" s="2068"/>
      <c r="C9" s="2055" t="s">
        <v>1390</v>
      </c>
      <c r="D9" s="2056"/>
      <c r="E9" s="2057">
        <v>2</v>
      </c>
      <c r="F9" s="2058" t="s">
        <v>1376</v>
      </c>
      <c r="G9" s="2058">
        <v>2</v>
      </c>
      <c r="H9" s="2059">
        <f t="shared" si="2"/>
      </c>
      <c r="I9" s="2069" t="s">
        <v>1391</v>
      </c>
      <c r="K9" s="2067"/>
    </row>
    <row customHeight="true" ht="70" r="10">
      <c r="A10" s="2055"/>
      <c r="B10" s="2068"/>
      <c r="C10" s="2055" t="s">
        <v>1392</v>
      </c>
      <c r="D10" s="2056"/>
      <c r="E10" s="2057">
        <v>2</v>
      </c>
      <c r="F10" s="2058" t="s">
        <v>1376</v>
      </c>
      <c r="G10" s="2058">
        <v>2</v>
      </c>
      <c r="H10" s="2059">
        <f t="shared" si="2"/>
      </c>
      <c r="I10" s="2069"/>
      <c r="K10" s="2067"/>
    </row>
    <row customHeight="true" hidden="true" ht="50" r="11">
      <c r="A11" s="2055"/>
      <c r="B11" s="2068"/>
      <c r="C11" s="2055"/>
      <c r="D11" s="2056"/>
      <c r="E11" s="2057"/>
      <c r="F11" s="2058"/>
      <c r="G11" s="2058"/>
      <c r="H11" s="2059">
        <f t="shared" si="2"/>
      </c>
      <c r="I11" s="2069"/>
      <c r="K11" s="2067"/>
    </row>
    <row customHeight="true" hidden="true" ht="50" r="12">
      <c r="A12" s="2055"/>
      <c r="B12" s="2068"/>
      <c r="C12" s="2055"/>
      <c r="D12" s="2056"/>
      <c r="E12" s="2057"/>
      <c r="F12" s="2058"/>
      <c r="G12" s="2058"/>
      <c r="H12" s="2059">
        <f t="shared" si="2"/>
      </c>
      <c r="I12" s="2069"/>
      <c r="K12" s="2067"/>
    </row>
    <row customHeight="true" hidden="true" ht="50" r="13">
      <c r="A13" s="2055"/>
      <c r="B13" s="2068"/>
      <c r="C13" s="2055"/>
      <c r="D13" s="2056"/>
      <c r="E13" s="2057"/>
      <c r="F13" s="2058"/>
      <c r="G13" s="2058"/>
      <c r="H13" s="2059">
        <f t="shared" si="2"/>
      </c>
      <c r="I13" s="2069"/>
      <c r="K13" s="2067"/>
    </row>
    <row customHeight="true" hidden="true" ht="50" r="14">
      <c r="A14" s="2055"/>
      <c r="B14" s="2068"/>
      <c r="C14" s="2055"/>
      <c r="D14" s="2056"/>
      <c r="E14" s="2057"/>
      <c r="F14" s="2058"/>
      <c r="G14" s="2058"/>
      <c r="H14" s="2059">
        <f t="shared" si="2"/>
      </c>
      <c r="I14" s="2069"/>
      <c r="K14" s="2067"/>
    </row>
    <row customHeight="true" hidden="true" ht="50" r="15">
      <c r="A15" s="2055"/>
      <c r="B15" s="2068"/>
      <c r="C15" s="2055"/>
      <c r="D15" s="2056"/>
      <c r="E15" s="2057"/>
      <c r="F15" s="2058"/>
      <c r="G15" s="2058"/>
      <c r="H15" s="2059">
        <f t="shared" si="2"/>
      </c>
      <c r="I15" s="2069"/>
      <c r="K15" s="2067"/>
    </row>
    <row customHeight="true" hidden="true" ht="50" r="16">
      <c r="A16" s="2055"/>
      <c r="B16" s="2068"/>
      <c r="C16" s="2055"/>
      <c r="D16" s="2056"/>
      <c r="E16" s="2057"/>
      <c r="F16" s="2058"/>
      <c r="G16" s="2058"/>
      <c r="H16" s="2059">
        <f t="shared" si="2"/>
      </c>
      <c r="I16" s="2049"/>
      <c r="K16" s="2067"/>
    </row>
    <row customHeight="true" ht="16" r="17">
      <c r="A17" s="2055"/>
      <c r="B17" s="2068"/>
      <c r="C17" s="2070" t="s">
        <v>1393</v>
      </c>
      <c r="D17" s="2070"/>
      <c r="E17" s="2071">
        <f>SUM(E7:E16)</f>
      </c>
      <c r="F17" s="2072"/>
      <c r="G17" s="2073"/>
      <c r="H17" s="2071">
        <f>SUM(H7:H16)</f>
      </c>
      <c r="I17" s="2074"/>
    </row>
    <row customHeight="true" ht="130" r="18">
      <c r="A18" s="2055"/>
      <c r="B18" s="2068" t="s">
        <v>1394</v>
      </c>
      <c r="C18" s="2075" t="s">
        <v>1395</v>
      </c>
      <c r="D18" s="2076" t="s">
        <v>1396</v>
      </c>
      <c r="E18" s="2077">
        <v>1</v>
      </c>
      <c r="F18" s="2078" t="s">
        <v>1376</v>
      </c>
      <c r="G18" s="2078">
        <v>1</v>
      </c>
      <c r="H18" s="2079">
        <f t="shared" ref="H18:H23" si="3">E18-G18</f>
      </c>
      <c r="I18" s="2049" t="s">
        <v>1397</v>
      </c>
    </row>
    <row customHeight="true" ht="81" r="19">
      <c r="A19" s="2055"/>
      <c r="B19" s="2068"/>
      <c r="C19" s="2080" t="s">
        <v>1398</v>
      </c>
      <c r="D19" s="2081" t="s">
        <v>1396</v>
      </c>
      <c r="E19" s="2082">
        <v>1</v>
      </c>
      <c r="F19" s="2083" t="s">
        <v>1376</v>
      </c>
      <c r="G19" s="2083"/>
      <c r="H19" s="2084">
        <f t="shared" si="3"/>
      </c>
      <c r="I19" s="2049"/>
    </row>
    <row customHeight="true" hidden="true" ht="44" r="20">
      <c r="A20" s="2055"/>
      <c r="B20" s="2068"/>
      <c r="C20" s="2085"/>
      <c r="D20" s="2086"/>
      <c r="E20" s="2087"/>
      <c r="F20" s="2088"/>
      <c r="G20" s="2088"/>
      <c r="H20" s="2089">
        <f t="shared" si="3"/>
      </c>
      <c r="I20" s="2049"/>
      <c r="J20" s="2049"/>
    </row>
    <row customHeight="true" ht="77" r="21">
      <c r="A21" s="2055"/>
      <c r="B21" s="2068"/>
      <c r="C21" s="2042" t="s">
        <v>1390</v>
      </c>
      <c r="D21" s="2090" t="s">
        <v>1396</v>
      </c>
      <c r="E21" s="2061">
        <v>2</v>
      </c>
      <c r="F21" s="2062" t="s">
        <v>1376</v>
      </c>
      <c r="G21" s="2062"/>
      <c r="H21" s="2063">
        <f t="shared" si="3"/>
      </c>
      <c r="I21" s="2049"/>
    </row>
    <row customHeight="true" ht="75" r="22">
      <c r="A22" s="2055"/>
      <c r="B22" s="2068"/>
      <c r="C22" s="2091" t="s">
        <v>1399</v>
      </c>
      <c r="D22" s="2092" t="s">
        <v>1396</v>
      </c>
      <c r="E22" s="2057">
        <v>2</v>
      </c>
      <c r="F22" s="2058" t="s">
        <v>1383</v>
      </c>
      <c r="G22" s="2058">
        <v>2</v>
      </c>
      <c r="H22" s="2057">
        <f t="shared" si="3"/>
      </c>
      <c r="I22" s="2049" t="s">
        <v>1391</v>
      </c>
    </row>
    <row customHeight="true" ht="75" r="23">
      <c r="A23" s="2055"/>
      <c r="B23" s="2068"/>
      <c r="C23" s="2042" t="s">
        <v>1400</v>
      </c>
      <c r="D23" s="2090" t="s">
        <v>1396</v>
      </c>
      <c r="E23" s="2061">
        <v>2</v>
      </c>
      <c r="F23" s="2062" t="s">
        <v>1376</v>
      </c>
      <c r="G23" s="2093">
        <v>2</v>
      </c>
      <c r="H23" s="2061">
        <f t="shared" si="3"/>
      </c>
      <c r="I23" s="2049"/>
    </row>
    <row customHeight="true" ht="30" r="24">
      <c r="A24" s="2055"/>
      <c r="B24" s="2068"/>
      <c r="C24" s="2080" t="s">
        <v>1401</v>
      </c>
      <c r="D24" s="2080" t="s">
        <v>1396</v>
      </c>
      <c r="E24" s="2082">
        <v>2</v>
      </c>
      <c r="F24" s="2083" t="s">
        <v>1376</v>
      </c>
      <c r="G24" s="2094">
        <v>2</v>
      </c>
      <c r="H24" s="2084"/>
      <c r="I24" s="2074"/>
    </row>
    <row customHeight="true" ht="30" r="25">
      <c r="A25" s="2055"/>
      <c r="B25" s="2068"/>
      <c r="C25" s="2095" t="s">
        <v>1402</v>
      </c>
      <c r="D25" s="2095" t="s">
        <v>1396</v>
      </c>
      <c r="E25" s="2096">
        <v>2</v>
      </c>
      <c r="F25" s="2097" t="s">
        <v>1383</v>
      </c>
      <c r="G25" s="2097">
        <v>2</v>
      </c>
      <c r="H25" s="2098"/>
      <c r="I25" s="2074"/>
    </row>
    <row customHeight="true" ht="26" r="26">
      <c r="A26" s="2055"/>
      <c r="B26" s="2068"/>
      <c r="C26" s="2095" t="s">
        <v>1403</v>
      </c>
      <c r="D26" s="2095" t="s">
        <v>1404</v>
      </c>
      <c r="E26" s="2096">
        <v>3</v>
      </c>
      <c r="F26" s="2097" t="s">
        <v>1383</v>
      </c>
      <c r="G26" s="2097">
        <v>3</v>
      </c>
      <c r="H26" s="2098"/>
      <c r="I26" s="2074"/>
    </row>
    <row customHeight="true" ht="16" r="27">
      <c r="A27" s="2055"/>
      <c r="B27" s="2068"/>
      <c r="C27" s="2070" t="s">
        <v>1393</v>
      </c>
      <c r="D27" s="2070"/>
      <c r="E27" s="2071">
        <f>SUM(E18:E23)</f>
      </c>
      <c r="F27" s="2072"/>
      <c r="G27" s="2073"/>
      <c r="H27" s="2071">
        <f>SUM(H18:H23)</f>
      </c>
      <c r="I27" s="2074"/>
    </row>
    <row customHeight="true" ht="76" r="28">
      <c r="A28" s="2055"/>
      <c r="B28" s="2043" t="s">
        <v>1405</v>
      </c>
      <c r="C28" s="2099" t="s">
        <v>1406</v>
      </c>
      <c r="D28" s="2100" t="s">
        <v>1407</v>
      </c>
      <c r="E28" s="2101">
        <v>2</v>
      </c>
      <c r="F28" s="2102" t="s">
        <v>1383</v>
      </c>
      <c r="G28" s="2102">
        <v>2</v>
      </c>
      <c r="H28" s="2103">
        <f t="shared" ref="H28:H32" si="4">E28-G28</f>
      </c>
      <c r="I28" s="2104"/>
      <c r="J28" s="2074"/>
    </row>
    <row customHeight="true" ht="84" r="29">
      <c r="A29" s="2055"/>
      <c r="B29" s="2043"/>
      <c r="C29" s="2042" t="s">
        <v>1392</v>
      </c>
      <c r="D29" s="2090" t="s">
        <v>1407</v>
      </c>
      <c r="E29" s="2061">
        <v>2</v>
      </c>
      <c r="F29" s="2062" t="s">
        <v>1383</v>
      </c>
      <c r="G29" s="2062">
        <v>3</v>
      </c>
      <c r="H29" s="2105">
        <f t="shared" si="4"/>
      </c>
      <c r="I29" s="2104" t="s">
        <v>1408</v>
      </c>
      <c r="J29" s="2074"/>
    </row>
    <row customHeight="true" ht="56" r="30">
      <c r="A30" s="2055"/>
      <c r="B30" s="2043"/>
      <c r="C30" s="2080" t="s">
        <v>1409</v>
      </c>
      <c r="D30" s="2106" t="s">
        <v>1407</v>
      </c>
      <c r="E30" s="2082">
        <v>3</v>
      </c>
      <c r="F30" s="2083" t="s">
        <v>1383</v>
      </c>
      <c r="G30" s="2083">
        <v>2</v>
      </c>
      <c r="H30" s="2107">
        <f t="shared" si="4"/>
      </c>
      <c r="I30" s="2049"/>
      <c r="J30" s="2049"/>
    </row>
    <row customHeight="true" ht="53" r="31">
      <c r="A31" s="2055"/>
      <c r="B31" s="2043"/>
      <c r="C31" s="2108" t="s">
        <v>1410</v>
      </c>
      <c r="D31" s="2109" t="s">
        <v>1407</v>
      </c>
      <c r="E31" s="2110">
        <v>4</v>
      </c>
      <c r="F31" s="2111" t="s">
        <v>1383</v>
      </c>
      <c r="G31" s="2111">
        <v>4</v>
      </c>
      <c r="H31" s="2112">
        <f t="shared" si="4"/>
      </c>
      <c r="I31" s="2049"/>
      <c r="J31" s="2074"/>
    </row>
    <row customHeight="true" ht="57" r="32">
      <c r="A32" s="2055"/>
      <c r="B32" s="2043"/>
      <c r="C32" s="2095" t="s">
        <v>1411</v>
      </c>
      <c r="D32" s="2113" t="s">
        <v>1407</v>
      </c>
      <c r="E32" s="2096">
        <v>2</v>
      </c>
      <c r="F32" s="2097" t="s">
        <v>1383</v>
      </c>
      <c r="G32" s="2097">
        <v>2</v>
      </c>
      <c r="H32" s="2114">
        <f t="shared" si="4"/>
      </c>
      <c r="I32" s="2049" t="s">
        <v>1412</v>
      </c>
      <c r="J32" s="2049" t="s">
        <v>1413</v>
      </c>
    </row>
    <row customHeight="true" ht="57" r="33">
      <c r="A33" s="2055"/>
      <c r="B33" s="2043"/>
      <c r="C33" s="2095" t="s">
        <v>1414</v>
      </c>
      <c r="D33" s="2113" t="s">
        <v>1407</v>
      </c>
      <c r="E33" s="2096">
        <v>2</v>
      </c>
      <c r="F33" s="2097" t="s">
        <v>1383</v>
      </c>
      <c r="G33" s="2097"/>
      <c r="H33" s="2114"/>
      <c r="I33" s="2049"/>
      <c r="J33" s="2049"/>
    </row>
    <row customHeight="true" ht="102" r="34">
      <c r="A34" s="2055"/>
      <c r="B34" s="2043" t="s">
        <v>1415</v>
      </c>
      <c r="C34" s="2075" t="s">
        <v>1416</v>
      </c>
      <c r="D34" s="2115" t="s">
        <v>1417</v>
      </c>
      <c r="E34" s="2077">
        <v>14</v>
      </c>
      <c r="F34" s="2078" t="s">
        <v>1418</v>
      </c>
      <c r="G34" s="2078">
        <v>8</v>
      </c>
      <c r="H34" s="2116">
        <f t="shared" ref="H34:H44" si="5">E34-G34</f>
      </c>
      <c r="I34" s="2049"/>
      <c r="J34" s="2049"/>
    </row>
    <row customHeight="true" ht="55" r="35">
      <c r="A35" s="2055"/>
      <c r="B35" s="2043"/>
      <c r="C35" s="2044" t="s">
        <v>1419</v>
      </c>
      <c r="D35" s="2117" t="s">
        <v>1420</v>
      </c>
      <c r="E35" s="2046">
        <v>1</v>
      </c>
      <c r="F35" s="2047" t="s">
        <v>1418</v>
      </c>
      <c r="G35" s="2047"/>
      <c r="H35" s="2118">
        <f t="shared" si="5"/>
      </c>
      <c r="I35" s="2119" t="s">
        <v>1421</v>
      </c>
      <c r="J35" s="2049"/>
    </row>
    <row customHeight="true" ht="49" r="36">
      <c r="A36" s="2055"/>
      <c r="B36" s="2043" t="s">
        <v>1422</v>
      </c>
      <c r="C36" s="2050" t="s">
        <v>1423</v>
      </c>
      <c r="D36" s="2120" t="s">
        <v>1424</v>
      </c>
      <c r="E36" s="2052">
        <v>3</v>
      </c>
      <c r="F36" s="2053" t="s">
        <v>1376</v>
      </c>
      <c r="G36" s="2053">
        <v>1</v>
      </c>
      <c r="H36" s="2121">
        <f t="shared" si="5"/>
      </c>
      <c r="I36" s="2049"/>
      <c r="J36" s="2049"/>
    </row>
    <row customHeight="true" ht="57" r="37">
      <c r="A37" s="2055"/>
      <c r="B37" s="2043" t="s">
        <v>1425</v>
      </c>
      <c r="C37" s="2122" t="s">
        <v>1423</v>
      </c>
      <c r="D37" s="2123" t="s">
        <v>1426</v>
      </c>
      <c r="E37" s="2124">
        <v>3</v>
      </c>
      <c r="F37" s="2125" t="s">
        <v>1376</v>
      </c>
      <c r="G37" s="2125"/>
      <c r="H37" s="2124">
        <f t="shared" si="5"/>
      </c>
      <c r="I37" s="2049"/>
      <c r="J37" s="2074"/>
    </row>
    <row r="38">
      <c r="A38" s="2055"/>
      <c r="B38" s="2043" t="s">
        <v>1427</v>
      </c>
      <c r="C38" s="2126" t="s">
        <v>1428</v>
      </c>
      <c r="D38" s="2127" t="s">
        <v>1429</v>
      </c>
      <c r="E38" s="2128">
        <v>15</v>
      </c>
      <c r="F38" s="2129" t="s">
        <v>1430</v>
      </c>
      <c r="G38" s="2129">
        <v>8</v>
      </c>
      <c r="H38" s="2105">
        <f t="shared" si="5"/>
      </c>
      <c r="I38" s="2049"/>
      <c r="J38" s="2074"/>
    </row>
    <row customHeight="true" hidden="true" ht="16" r="39">
      <c r="A39" s="2055"/>
      <c r="B39" s="2043"/>
      <c r="C39" s="2130"/>
      <c r="D39" s="2131"/>
      <c r="E39" s="2132"/>
      <c r="F39" s="2133"/>
      <c r="G39" s="2133"/>
      <c r="H39" s="2107">
        <f t="shared" si="5"/>
      </c>
      <c r="I39" s="2074"/>
      <c r="J39" s="2074"/>
    </row>
    <row customHeight="true" hidden="true" ht="31" r="40">
      <c r="A40" s="2055"/>
      <c r="B40" s="2043"/>
      <c r="C40" s="2134"/>
      <c r="D40" s="2135"/>
      <c r="E40" s="2136"/>
      <c r="F40" s="2137"/>
      <c r="G40" s="2137"/>
      <c r="H40" s="2112">
        <f t="shared" si="5"/>
      </c>
      <c r="I40" s="2049"/>
      <c r="J40" s="2074"/>
    </row>
    <row customHeight="true" hidden="true" ht="31" r="41">
      <c r="A41" s="2055"/>
      <c r="B41" s="2043"/>
      <c r="C41" s="2138"/>
      <c r="D41" s="2139"/>
      <c r="E41" s="2140"/>
      <c r="F41" s="2141"/>
      <c r="G41" s="2141"/>
      <c r="H41" s="2114">
        <f t="shared" si="5"/>
      </c>
      <c r="I41" s="2049"/>
      <c r="J41" s="2074"/>
    </row>
    <row customHeight="true" hidden="true" ht="31" r="42">
      <c r="A42" s="2055"/>
      <c r="B42" s="2043"/>
      <c r="C42" s="2142"/>
      <c r="D42" s="2143"/>
      <c r="E42" s="2144"/>
      <c r="F42" s="2145"/>
      <c r="G42" s="2145"/>
      <c r="H42" s="2116">
        <f t="shared" si="5"/>
      </c>
      <c r="I42" s="2049"/>
      <c r="J42" s="2074"/>
    </row>
    <row customHeight="true" hidden="true" ht="56" r="43">
      <c r="A43" s="2055"/>
      <c r="B43" s="2043"/>
      <c r="C43" s="2146"/>
      <c r="D43" s="2147"/>
      <c r="E43" s="2148"/>
      <c r="F43" s="2149"/>
      <c r="G43" s="2149"/>
      <c r="H43" s="2121">
        <f t="shared" si="5"/>
      </c>
      <c r="I43" s="2049"/>
      <c r="J43" s="2074"/>
    </row>
    <row customHeight="true" hidden="true" ht="31" r="44">
      <c r="A44" s="2055"/>
      <c r="B44" s="2043"/>
      <c r="C44" s="2122"/>
      <c r="D44" s="2123"/>
      <c r="E44" s="2124"/>
      <c r="F44" s="2125"/>
      <c r="G44" s="2125"/>
      <c r="H44" s="2150">
        <f t="shared" si="5"/>
      </c>
      <c r="I44" s="2074"/>
      <c r="J44" s="2074"/>
    </row>
    <row customHeight="true" ht="15" r="45">
      <c r="A45" s="2055"/>
      <c r="B45" s="2043"/>
      <c r="C45" s="2151" t="s">
        <v>1393</v>
      </c>
      <c r="D45" s="2151"/>
      <c r="E45" s="2152">
        <f>SUM(E28:E44)</f>
      </c>
      <c r="F45" s="2153"/>
      <c r="G45" s="2154"/>
      <c r="H45" s="2152">
        <f>SUM(H28:H37)</f>
      </c>
      <c r="I45" s="2074"/>
      <c r="J45" s="2074"/>
    </row>
    <row customHeight="true" hidden="true" ht="78" r="46">
      <c r="A46" s="2055"/>
      <c r="B46" s="2068"/>
      <c r="C46" s="2155"/>
      <c r="D46" s="2086"/>
      <c r="E46" s="2087"/>
      <c r="F46" s="2088"/>
      <c r="G46" s="2088"/>
      <c r="H46" s="2089">
        <f t="shared" ref="H46:H50" si="6">E46-G46</f>
      </c>
      <c r="I46" s="2049"/>
    </row>
    <row customHeight="true" hidden="true" ht="79" r="47">
      <c r="A47" s="2055"/>
      <c r="B47" s="2068"/>
      <c r="C47" s="2156"/>
      <c r="D47" s="2051"/>
      <c r="E47" s="2148"/>
      <c r="F47" s="2149"/>
      <c r="G47" s="2149"/>
      <c r="H47" s="2121">
        <f t="shared" si="6"/>
      </c>
      <c r="I47" s="2049"/>
    </row>
    <row customHeight="true" hidden="true" ht="99" r="48">
      <c r="A48" s="2055"/>
      <c r="B48" s="2068"/>
      <c r="C48" s="2157"/>
      <c r="D48" s="2056"/>
      <c r="E48" s="2124"/>
      <c r="F48" s="2125"/>
      <c r="G48" s="2125"/>
      <c r="H48" s="2150">
        <f t="shared" si="6"/>
      </c>
      <c r="I48" s="2049"/>
    </row>
    <row customHeight="true" hidden="true" ht="60" r="49">
      <c r="A49" s="2055"/>
      <c r="B49" s="2068"/>
      <c r="C49" s="2126"/>
      <c r="D49" s="2127"/>
      <c r="E49" s="2128"/>
      <c r="F49" s="2129"/>
      <c r="G49" s="2129"/>
      <c r="H49" s="2105">
        <f t="shared" si="6"/>
      </c>
      <c r="I49" s="2049"/>
    </row>
    <row customHeight="true" hidden="true" ht="54" r="50">
      <c r="A50" s="2055"/>
      <c r="B50" s="2068"/>
      <c r="C50" s="2130"/>
      <c r="D50" s="2131"/>
      <c r="E50" s="2132"/>
      <c r="F50" s="2133"/>
      <c r="G50" s="2133"/>
      <c r="H50" s="2107">
        <f t="shared" si="6"/>
      </c>
      <c r="I50" s="2049" t="s">
        <v>1431</v>
      </c>
    </row>
    <row customHeight="true" ht="13" r="51">
      <c r="A51" s="2055"/>
      <c r="B51" s="2068"/>
      <c r="C51" s="2151" t="s">
        <v>1393</v>
      </c>
      <c r="D51" s="2151"/>
      <c r="E51" s="2152">
        <f>SUM(E46:E50)</f>
      </c>
      <c r="F51" s="2153"/>
      <c r="G51" s="2154"/>
      <c r="H51" s="2152">
        <f>SUM(H46:H50)</f>
      </c>
      <c r="I51" s="2074"/>
    </row>
    <row customHeight="true" ht="16" r="52">
      <c r="A52" s="2064" t="s">
        <v>1384</v>
      </c>
      <c r="B52" s="2064"/>
      <c r="C52" s="2064"/>
      <c r="D52" s="2064"/>
      <c r="E52" s="2065">
        <f>SUM(E17,E27,E45,E51)</f>
      </c>
      <c r="F52" s="2066"/>
      <c r="G52" s="2158"/>
      <c r="H52" s="2065">
        <f>SUM(H17,H27,H45,H51)</f>
      </c>
      <c r="I52" s="2074"/>
      <c r="J52" s="2049"/>
    </row>
    <row customHeight="true" ht="185" r="53">
      <c r="A53" s="2075" t="s">
        <v>1432</v>
      </c>
      <c r="B53" s="2068" t="s">
        <v>1433</v>
      </c>
      <c r="C53" s="2120" t="s">
        <v>1434</v>
      </c>
      <c r="D53" s="2106" t="s">
        <v>1435</v>
      </c>
      <c r="E53" s="2082">
        <v>35</v>
      </c>
      <c r="F53" s="2083" t="s">
        <v>1436</v>
      </c>
      <c r="G53" s="2083">
        <v>35</v>
      </c>
      <c r="H53" s="2107">
        <f t="shared" ref="H53:H58" si="7">E53-G53</f>
      </c>
      <c r="I53" s="2069" t="s">
        <v>1437</v>
      </c>
      <c r="J53" s="2104"/>
    </row>
    <row customHeight="true" hidden="true" ht="43" r="54">
      <c r="A54" s="2075"/>
      <c r="B54" s="2068"/>
      <c r="C54" s="2050"/>
      <c r="D54" s="2106"/>
      <c r="E54" s="2082"/>
      <c r="F54" s="2062"/>
      <c r="G54" s="2062"/>
      <c r="H54" s="2105">
        <f t="shared" si="7"/>
      </c>
      <c r="I54" s="2069"/>
    </row>
    <row customHeight="true" hidden="true" ht="41" r="55">
      <c r="A55" s="2075"/>
      <c r="B55" s="2068"/>
      <c r="C55" s="2050"/>
      <c r="D55" s="2106"/>
      <c r="E55" s="2082"/>
      <c r="F55" s="2133"/>
      <c r="G55" s="2133"/>
      <c r="H55" s="2107">
        <f t="shared" si="7"/>
      </c>
      <c r="I55" s="2069"/>
    </row>
    <row customHeight="true" hidden="true" ht="41" r="56">
      <c r="A56" s="2075"/>
      <c r="B56" s="2068"/>
      <c r="C56" s="2050"/>
      <c r="D56" s="2106"/>
      <c r="E56" s="2082"/>
      <c r="F56" s="2145"/>
      <c r="G56" s="2145"/>
      <c r="H56" s="2116">
        <f t="shared" si="7"/>
      </c>
      <c r="I56" s="2069"/>
      <c r="J56" s="2049"/>
    </row>
    <row customHeight="true" hidden="true" ht="41" r="57">
      <c r="A57" s="2075"/>
      <c r="B57" s="2068"/>
      <c r="C57" s="2050"/>
      <c r="D57" s="2106"/>
      <c r="E57" s="2082"/>
      <c r="F57" s="2159"/>
      <c r="G57" s="2159"/>
      <c r="H57" s="2103">
        <f t="shared" si="7"/>
      </c>
      <c r="I57" s="2069"/>
      <c r="J57" s="2049"/>
    </row>
    <row customHeight="true" hidden="true" ht="41" r="58">
      <c r="A58" s="2075"/>
      <c r="B58" s="2068"/>
      <c r="C58" s="2050"/>
      <c r="D58" s="2106"/>
      <c r="E58" s="2082"/>
      <c r="F58" s="2149"/>
      <c r="G58" s="2149"/>
      <c r="H58" s="2121">
        <f t="shared" si="7"/>
      </c>
      <c r="I58" s="2069"/>
      <c r="J58" s="2049"/>
    </row>
    <row customHeight="true" ht="16" r="59">
      <c r="A59" s="2075"/>
      <c r="B59" s="2068"/>
      <c r="C59" s="2151" t="s">
        <v>1393</v>
      </c>
      <c r="D59" s="2151"/>
      <c r="E59" s="2152">
        <f>SUM(E53:E58)</f>
      </c>
      <c r="F59" s="2153"/>
      <c r="G59" s="2154"/>
      <c r="H59" s="2152">
        <f>SUM(H53:H58)</f>
      </c>
    </row>
    <row customHeight="true" ht="16" r="60">
      <c r="A60" s="2064" t="s">
        <v>1384</v>
      </c>
      <c r="B60" s="2064"/>
      <c r="C60" s="2064"/>
      <c r="D60" s="2064"/>
      <c r="E60" s="2065">
        <f>SUM(E59)</f>
      </c>
      <c r="F60" s="2066"/>
      <c r="G60" s="2158"/>
      <c r="H60" s="2065">
        <f>SUM(H59)</f>
      </c>
      <c r="I60" s="2074"/>
    </row>
    <row customHeight="true" hidden="true" ht="100" r="61">
      <c r="A61" s="2095" t="s">
        <v>1438</v>
      </c>
      <c r="B61" s="2068" t="s">
        <v>1415</v>
      </c>
      <c r="C61" s="2095" t="s">
        <v>1439</v>
      </c>
      <c r="D61" s="2113" t="s">
        <v>1440</v>
      </c>
      <c r="E61" s="2096"/>
      <c r="F61" s="2097"/>
      <c r="G61" s="2097"/>
      <c r="H61" s="2114">
        <f>E61-G61</f>
      </c>
      <c r="I61" s="2074"/>
      <c r="J61" s="2074"/>
    </row>
    <row customHeight="true" ht="17" r="62">
      <c r="A62" s="2064" t="s">
        <v>1384</v>
      </c>
      <c r="B62" s="2064"/>
      <c r="C62" s="2064"/>
      <c r="D62" s="2064"/>
      <c r="E62" s="2065">
        <f>SUM(E61)</f>
      </c>
      <c r="F62" s="2066"/>
      <c r="G62" s="2158"/>
      <c r="H62" s="2065">
        <f>SUM(H61)</f>
      </c>
      <c r="I62" s="2074"/>
      <c r="J62" s="2074"/>
    </row>
    <row customHeight="true" ht="16" r="63">
      <c r="A63" s="2065" t="s">
        <v>1393</v>
      </c>
      <c r="B63" s="2065"/>
      <c r="C63" s="2065"/>
      <c r="D63" s="2065"/>
      <c r="E63" s="2065">
        <f>SUM(E6,E52,E60,E62)</f>
      </c>
      <c r="F63" s="2066"/>
      <c r="G63" s="2160"/>
      <c r="H63" s="2065">
        <f>SUM(H6,H52,H60,H62)</f>
      </c>
      <c r="I63" s="2049"/>
      <c r="J63" s="2074"/>
    </row>
    <row customHeight="true" ht="16" r="64">
      <c r="B64" s="2074"/>
      <c r="C64" s="2074"/>
      <c r="D64" s="2074"/>
      <c r="E64" s="2074"/>
      <c r="F64" s="2049"/>
      <c r="G64" s="2049"/>
      <c r="H64" s="2049"/>
      <c r="I64" s="2074"/>
      <c r="J64" s="2074"/>
    </row>
    <row customHeight="true" ht="16" r="65">
      <c r="B65" s="2074"/>
      <c r="C65" s="2074"/>
      <c r="D65" s="2074"/>
      <c r="E65" s="2074"/>
      <c r="F65" s="2049"/>
      <c r="G65" s="2049"/>
      <c r="H65" s="2049"/>
      <c r="I65" s="2074"/>
      <c r="J65" s="2049"/>
      <c r="K65" s="2049"/>
      <c r="L65" s="2049"/>
      <c r="M65" s="2049"/>
      <c r="N65" s="2049"/>
      <c r="O65" s="2049"/>
      <c r="P65" s="2049"/>
    </row>
    <row r="66">
      <c r="D66" s="2074"/>
      <c r="E66" s="2073" t="s">
        <v>1441</v>
      </c>
      <c r="F66" s="2161" t="s">
        <v>1367</v>
      </c>
      <c r="G66" s="2161" t="s">
        <v>1442</v>
      </c>
      <c r="H66" s="2161" t="s">
        <v>1370</v>
      </c>
      <c r="I66" s="2049"/>
      <c r="J66" s="2049"/>
      <c r="M66" s="2049"/>
    </row>
    <row r="67">
      <c r="D67" s="2074"/>
      <c r="E67" s="2162" t="s">
        <v>1379</v>
      </c>
      <c r="F67" s="2163">
        <f>SUMIF(F2:F63,"Huyền",E2:E63)</f>
      </c>
      <c r="G67" s="2163">
        <f>SUMIF(F2:F63,"Huyền",G2:G63)</f>
      </c>
      <c r="H67" s="2163">
        <f t="shared" ref="H67:H74" si="8">F67-G67</f>
      </c>
      <c r="I67" s="2049"/>
      <c r="J67" s="2049"/>
    </row>
    <row r="68">
      <c r="D68" s="2049"/>
      <c r="E68" s="2161" t="s">
        <v>1383</v>
      </c>
      <c r="F68" s="2073">
        <f>SUMIF(F2:F63,"Hoa",E2:E63)</f>
      </c>
      <c r="G68" s="2163">
        <f>SUMIF(F2:F63,"Hoa",G2:G63)</f>
      </c>
      <c r="H68" s="2073">
        <f t="shared" si="8"/>
      </c>
      <c r="I68" s="2049"/>
      <c r="J68" s="2049"/>
      <c r="K68" s="2049" t="s">
        <v>1443</v>
      </c>
      <c r="L68" s="2049" t="s">
        <v>1444</v>
      </c>
      <c r="M68" s="2049" t="s">
        <v>1445</v>
      </c>
      <c r="N68" s="2049" t="s">
        <v>1446</v>
      </c>
      <c r="O68" s="2049" t="s">
        <v>1447</v>
      </c>
      <c r="P68" s="2049" t="s">
        <v>1448</v>
      </c>
      <c r="Q68" s="2049" t="s">
        <v>1383</v>
      </c>
      <c r="R68" s="2049" t="s">
        <v>1449</v>
      </c>
      <c r="S68" s="2049" t="s">
        <v>1450</v>
      </c>
      <c r="T68" s="2049" t="s">
        <v>1384</v>
      </c>
      <c r="U68" s="2049"/>
      <c r="V68" s="2049"/>
    </row>
    <row r="69">
      <c r="D69" s="2049"/>
      <c r="E69" s="2073" t="s">
        <v>1436</v>
      </c>
      <c r="F69" s="2154">
        <f>SUMIF(F2:F63,"Thúy",E2:E63)</f>
      </c>
      <c r="G69" s="2163">
        <f>SUMIF(F2:F63,"Thúy",G2:G63)</f>
      </c>
      <c r="H69" s="2073">
        <f t="shared" si="8"/>
      </c>
      <c r="I69" s="2049"/>
      <c r="J69" s="2049" t="s">
        <v>1451</v>
      </c>
      <c r="K69" s="2049">
        <v>25</v>
      </c>
      <c r="L69" s="2049">
        <v>30</v>
      </c>
      <c r="M69" s="2049">
        <v>10</v>
      </c>
      <c r="N69" s="2049">
        <v>15</v>
      </c>
      <c r="O69" s="2049"/>
      <c r="P69" s="2049"/>
      <c r="S69" s="2049"/>
      <c r="T69">
        <f t="shared" ref="T69:T74" si="0">SUM(K69:S69)</f>
      </c>
    </row>
    <row r="70">
      <c r="D70" s="2049"/>
      <c r="E70" s="2161" t="s">
        <v>1418</v>
      </c>
      <c r="F70" s="2164">
        <f>SUMIF(F2:F63,"Ngân",E2:E63)</f>
      </c>
      <c r="G70" s="2163">
        <f>SUMIF(F2:F63,"Ngân",G2:G63)</f>
      </c>
      <c r="H70" s="2165">
        <f t="shared" si="8"/>
      </c>
      <c r="I70" s="2049"/>
      <c r="J70" s="2049" t="s">
        <v>1452</v>
      </c>
      <c r="L70" s="2049"/>
      <c r="O70" s="2049">
        <v>33</v>
      </c>
      <c r="P70" s="2049"/>
      <c r="S70" s="2049">
        <v>17</v>
      </c>
      <c r="T70">
        <f t="shared" si="0"/>
      </c>
    </row>
    <row customHeight="true" ht="16" r="71">
      <c r="D71" s="2074"/>
      <c r="E71" s="2166" t="s">
        <v>1430</v>
      </c>
      <c r="F71" s="2167">
        <f>SUMIF(F2:F63,"Bích",E2:E63)</f>
      </c>
      <c r="G71" s="2163">
        <f>SUMIF(F2:F63,"Bích",G2:G63)</f>
      </c>
      <c r="H71" s="2168">
        <f t="shared" si="8"/>
      </c>
      <c r="I71" s="2049"/>
      <c r="J71" s="2049" t="s">
        <v>1453</v>
      </c>
      <c r="M71" s="2049">
        <v>8</v>
      </c>
      <c r="P71" s="2049"/>
      <c r="Q71" s="2049">
        <v>7</v>
      </c>
      <c r="T71">
        <f t="shared" si="0"/>
      </c>
    </row>
    <row customHeight="true" ht="16" r="72">
      <c r="D72" s="2074"/>
      <c r="E72" s="2169" t="s">
        <v>1376</v>
      </c>
      <c r="F72" s="2170">
        <f>SUMIF(F3:F63,"Phương",E3:E63)</f>
      </c>
      <c r="G72" s="2163">
        <f>SUMIF(F2:F63,"Phương",G2:G63)</f>
      </c>
      <c r="H72" s="2171">
        <f t="shared" si="8"/>
      </c>
      <c r="I72" s="2049"/>
      <c r="J72" s="2049" t="s">
        <v>1454</v>
      </c>
      <c r="K72" s="2049">
        <v>10</v>
      </c>
      <c r="L72" s="2049"/>
      <c r="T72">
        <f t="shared" si="0"/>
      </c>
    </row>
    <row r="73">
      <c r="D73" s="2074"/>
      <c r="E73" s="2169" t="s">
        <v>1447</v>
      </c>
      <c r="F73" s="2170">
        <f>SUMIF(F4:F64,"Mai",E4:E64)</f>
      </c>
      <c r="G73" s="2163">
        <f>SUMIF(F2:F63,"Mai",G2:G63)</f>
      </c>
      <c r="H73" s="2171">
        <f t="shared" si="8"/>
      </c>
      <c r="I73" s="2049"/>
      <c r="J73" s="2049" t="s">
        <v>1455</v>
      </c>
      <c r="M73" s="2049">
        <v>15</v>
      </c>
      <c r="O73" s="2049"/>
      <c r="P73" s="2049">
        <v>35</v>
      </c>
      <c r="Q73" s="2049">
        <v>27</v>
      </c>
      <c r="R73" s="2049">
        <v>27</v>
      </c>
      <c r="S73" s="2049">
        <v>15</v>
      </c>
      <c r="T73">
        <f t="shared" si="0"/>
      </c>
    </row>
    <row r="74">
      <c r="D74" s="2049"/>
      <c r="E74" s="2172" t="s">
        <v>1393</v>
      </c>
      <c r="F74" s="2173">
        <f>SUM(F67:F73)</f>
      </c>
      <c r="G74" s="2163">
        <f>SUM(G67:G73)</f>
      </c>
      <c r="H74" s="2173">
        <f t="shared" si="8"/>
      </c>
      <c r="I74" s="2049"/>
      <c r="J74" s="2049" t="s">
        <v>1384</v>
      </c>
      <c r="K74">
        <f>SUM(K69:K73)</f>
      </c>
      <c r="L74">
        <f>SUM(L69:L73)</f>
      </c>
      <c r="M74">
        <f>SUM(M69:M73)</f>
      </c>
      <c r="N74">
        <f>SUM(N69:N73)</f>
      </c>
      <c r="O74">
        <f>SUM(O69:O73)</f>
      </c>
      <c r="P74">
        <f>SUM(P69:P73)</f>
      </c>
      <c r="Q74">
        <f>SUM(Q69:Q73)</f>
      </c>
      <c r="R74">
        <f>SUM(R69:R73)</f>
      </c>
      <c r="S74">
        <f>SUM(S69:S73)</f>
      </c>
      <c r="T74">
        <f t="shared" si="0"/>
      </c>
    </row>
    <row r="75">
      <c r="F75" s="2074"/>
      <c r="G75" s="2074"/>
      <c r="H75" s="2074"/>
      <c r="I75" s="2049"/>
      <c r="L75" s="2049"/>
      <c r="N75" s="2049"/>
    </row>
    <row r="76">
      <c r="J76" s="2049"/>
      <c r="K76" s="2049"/>
      <c r="L76" s="2049"/>
      <c r="M76" s="2049"/>
      <c r="N76" s="2049"/>
      <c r="O76" s="2049"/>
      <c r="P76" s="2049"/>
      <c r="Q76" s="2049"/>
      <c r="R76" s="2049"/>
      <c r="S76" s="2049"/>
      <c r="T76" s="2049"/>
    </row>
    <row r="77">
      <c r="J77" s="2049"/>
      <c r="K77" s="2049"/>
      <c r="L77" s="2049"/>
      <c r="M77" s="2049"/>
      <c r="N77" s="2049"/>
      <c r="O77" s="2049"/>
      <c r="P77" s="2049"/>
    </row>
    <row r="78">
      <c r="J78" s="2049"/>
      <c r="L78" s="2049"/>
      <c r="N78" s="2049"/>
      <c r="O78" s="2049"/>
      <c r="P78" s="2049"/>
      <c r="S78" s="2049"/>
    </row>
    <row r="79">
      <c r="J79" s="2049"/>
      <c r="M79" s="2049"/>
      <c r="Q79" s="2049"/>
    </row>
    <row r="80">
      <c r="J80" s="2049"/>
      <c r="K80" s="2049"/>
      <c r="L80" s="2049"/>
    </row>
    <row r="81">
      <c r="J81" s="2049"/>
      <c r="M81" s="2049"/>
      <c r="O81" s="2049"/>
      <c r="P81" s="2049"/>
      <c r="Q81" s="2049"/>
      <c r="R81" s="2049"/>
      <c r="S81" s="2049"/>
    </row>
    <row r="82">
      <c r="J82" s="2049"/>
    </row>
  </sheetData>
  <mergeCells>
    <mergeCell ref="B18:B23"/>
    <mergeCell ref="B2:B5"/>
    <mergeCell ref="A2:A5"/>
    <mergeCell ref="I2:I4"/>
    <mergeCell ref="I10:I15"/>
    <mergeCell ref="C17:D17"/>
    <mergeCell ref="A6:D6"/>
    <mergeCell ref="B7:B8"/>
    <mergeCell ref="D7:D10"/>
    <mergeCell ref="I53:I58"/>
    <mergeCell ref="A63:D63"/>
    <mergeCell ref="A62:D62"/>
    <mergeCell ref="A60:D60"/>
    <mergeCell ref="C59:D59"/>
    <mergeCell ref="C45:D45"/>
    <mergeCell ref="C51:D51"/>
    <mergeCell ref="A52:D52"/>
    <mergeCell ref="A7:A51"/>
    <mergeCell ref="B34:B35"/>
    <mergeCell ref="B28:B32"/>
    <mergeCell ref="C27:D27"/>
  </mergeCells>
  <picture r:id="rId1"/>
</worksheet>
</file>

<file path=xl/worksheets/sheet2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2" min="2" style="0" width="22"/>
    <col collapsed="false" customWidth="true" hidden="false" max="6" min="6" style="0" width="11"/>
    <col collapsed="false" customWidth="true" hidden="false" max="10" min="10" style="0" width="5"/>
    <col collapsed="false" customWidth="true" hidden="false" max="14" min="14" style="0" width="7"/>
    <col collapsed="false" customWidth="true" hidden="false" max="18" min="18" style="0" width="7"/>
    <col collapsed="false" customWidth="true" hidden="false" max="22" min="22" style="0" width="11"/>
    <col collapsed="false" customWidth="true" hidden="false" max="3" min="3" style="0" width="22"/>
    <col collapsed="false" customWidth="true" hidden="false" max="7" min="7" style="0" width="11"/>
    <col collapsed="false" customWidth="true" hidden="false" max="11" min="11" style="0" width="8"/>
    <col collapsed="false" customWidth="true" hidden="false" max="15" min="15" style="0" width="7"/>
    <col collapsed="false" customWidth="true" hidden="false" max="19" min="19" style="0" width="10"/>
    <col collapsed="false" customWidth="true" hidden="false" max="4" min="4" style="0" width="29"/>
    <col collapsed="false" customWidth="true" hidden="false" max="8" min="8" style="0" width="11"/>
    <col collapsed="false" customWidth="true" hidden="false" max="12" min="12" style="0" width="7"/>
    <col collapsed="false" customWidth="true" hidden="false" max="16" min="16" style="0" width="6"/>
    <col collapsed="false" customWidth="true" hidden="false" max="1" min="1" style="0" width="22"/>
    <col collapsed="false" customWidth="true" hidden="false" max="5" min="5" style="0" width="11"/>
    <col collapsed="false" customWidth="true" hidden="false" max="9" min="9" style="0" width="18"/>
    <col collapsed="false" customWidth="true" hidden="false" max="13" min="13" style="0" width="7"/>
    <col collapsed="false" customWidth="true" hidden="false" max="17" min="17" style="0" width="6"/>
    <col collapsed="false" customWidth="true" hidden="false" max="21" min="21" style="0" width="11"/>
  </cols>
  <sheetData>
    <row r="1">
      <c r="A1" s="2174"/>
      <c r="B1" s="2174" t="s">
        <v>1456</v>
      </c>
      <c r="C1" s="2175" t="s">
        <v>1457</v>
      </c>
      <c r="D1" s="2174" t="s">
        <v>1458</v>
      </c>
      <c r="E1" s="2176" t="s">
        <v>1459</v>
      </c>
      <c r="F1" s="2177" t="s">
        <v>1460</v>
      </c>
      <c r="G1" s="2174" t="s">
        <v>1461</v>
      </c>
      <c r="H1" s="2174" t="s">
        <v>1462</v>
      </c>
      <c r="I1" s="2178" t="s">
        <v>1463</v>
      </c>
      <c r="J1" s="2179"/>
    </row>
    <row customHeight="true" ht="32" r="2">
      <c r="A2" s="2180" t="s">
        <v>1464</v>
      </c>
      <c r="B2" s="2181" t="s">
        <v>1465</v>
      </c>
      <c r="C2" s="2182" t="s">
        <v>1466</v>
      </c>
      <c r="D2" s="2183" t="s">
        <v>1467</v>
      </c>
      <c r="E2" s="2184">
        <v>5</v>
      </c>
      <c r="F2" s="2185" t="s">
        <v>1468</v>
      </c>
      <c r="G2" s="2185"/>
      <c r="H2" s="2186">
        <f t="shared" ref="H2:H9" si="2">E2-G2</f>
      </c>
      <c r="I2" s="2187" t="s">
        <v>1469</v>
      </c>
    </row>
    <row customHeight="true" hidden="true" ht="30" r="3">
      <c r="A3" s="2180"/>
      <c r="B3" s="2181"/>
      <c r="C3" s="2188"/>
      <c r="D3" s="2189"/>
      <c r="E3" s="2190"/>
      <c r="F3" s="2191"/>
      <c r="G3" s="2191"/>
      <c r="H3" s="2192">
        <f t="shared" si="2"/>
      </c>
      <c r="I3" s="2187"/>
    </row>
    <row customHeight="true" hidden="true" ht="112" r="4">
      <c r="A4" s="2180"/>
      <c r="B4" s="2181"/>
      <c r="C4" s="2193"/>
      <c r="D4" s="2194"/>
      <c r="E4" s="2195"/>
      <c r="F4" s="2196"/>
      <c r="G4" s="2196">
        <v>3</v>
      </c>
      <c r="H4" s="2197">
        <f t="shared" si="2"/>
      </c>
      <c r="I4" s="2187"/>
    </row>
    <row customHeight="true" ht="30" r="5">
      <c r="A5" s="2180" t="s">
        <v>1470</v>
      </c>
      <c r="B5" s="2181" t="s">
        <v>1471</v>
      </c>
      <c r="C5" s="2180" t="s">
        <v>1472</v>
      </c>
      <c r="D5" s="2198" t="s">
        <v>1473</v>
      </c>
      <c r="E5" s="2199">
        <v>3</v>
      </c>
      <c r="F5" s="2200" t="s">
        <v>1474</v>
      </c>
      <c r="G5" s="2200">
        <v>3</v>
      </c>
      <c r="H5" s="2201">
        <f t="shared" si="2"/>
      </c>
      <c r="I5" s="2187"/>
    </row>
    <row customHeight="true" ht="30" r="6">
      <c r="A6" s="2180"/>
      <c r="B6" s="2181"/>
      <c r="C6" s="2180" t="s">
        <v>1475</v>
      </c>
      <c r="D6" s="2198" t="s">
        <v>1473</v>
      </c>
      <c r="E6" s="2199">
        <v>3</v>
      </c>
      <c r="F6" s="2200" t="s">
        <v>1474</v>
      </c>
      <c r="G6" s="2200">
        <v>3</v>
      </c>
      <c r="H6" s="2201">
        <f t="shared" si="2"/>
      </c>
      <c r="I6" s="2187"/>
    </row>
    <row customHeight="true" ht="30" r="7">
      <c r="A7" s="2180"/>
      <c r="B7" s="2181"/>
      <c r="C7" s="2180" t="s">
        <v>1476</v>
      </c>
      <c r="D7" s="2198" t="s">
        <v>1477</v>
      </c>
      <c r="E7" s="2199">
        <v>3</v>
      </c>
      <c r="F7" s="2200" t="s">
        <v>1474</v>
      </c>
      <c r="G7" s="2200">
        <v>2</v>
      </c>
      <c r="H7" s="2201">
        <f t="shared" si="2"/>
      </c>
      <c r="I7" s="2187"/>
    </row>
    <row customHeight="true" ht="30" r="8">
      <c r="A8" s="2180"/>
      <c r="B8" s="2181"/>
      <c r="C8" s="2180" t="s">
        <v>1478</v>
      </c>
      <c r="D8" s="2198" t="s">
        <v>1473</v>
      </c>
      <c r="E8" s="2199">
        <v>3</v>
      </c>
      <c r="F8" s="2200" t="s">
        <v>1479</v>
      </c>
      <c r="G8" s="2200"/>
      <c r="H8" s="2201">
        <f t="shared" si="2"/>
      </c>
      <c r="I8" s="2187"/>
    </row>
    <row customHeight="true" ht="30" r="9">
      <c r="A9" s="2180"/>
      <c r="B9" s="2181"/>
      <c r="C9" s="2180" t="s">
        <v>1480</v>
      </c>
      <c r="D9" s="2198" t="s">
        <v>1481</v>
      </c>
      <c r="E9" s="2199">
        <v>3</v>
      </c>
      <c r="F9" s="2200" t="s">
        <v>1479</v>
      </c>
      <c r="G9" s="2200"/>
      <c r="H9" s="2201">
        <f t="shared" si="2"/>
      </c>
      <c r="I9" s="2187"/>
    </row>
    <row customHeight="true" ht="16" r="10">
      <c r="A10" s="2202" t="s">
        <v>1482</v>
      </c>
      <c r="B10" s="2202"/>
      <c r="C10" s="2202"/>
      <c r="D10" s="2202"/>
      <c r="E10" s="2203">
        <f>SUM(E2:E9)</f>
      </c>
      <c r="F10" s="2204"/>
      <c r="G10" s="2204"/>
      <c r="H10" s="2203">
        <f>SUM(H2:H8)</f>
      </c>
      <c r="I10" s="2187"/>
      <c r="K10" s="2205"/>
    </row>
    <row r="11">
      <c r="A11" s="2193" t="s">
        <v>1483</v>
      </c>
      <c r="B11" s="2206" t="s">
        <v>1484</v>
      </c>
      <c r="C11" s="2193" t="s">
        <v>1485</v>
      </c>
      <c r="D11" s="2194" t="s">
        <v>1486</v>
      </c>
      <c r="E11" s="2195"/>
      <c r="F11" s="2196"/>
      <c r="G11" s="2196"/>
      <c r="H11" s="2197">
        <f t="shared" ref="H11:H20" si="3">E11-G11</f>
      </c>
      <c r="I11" s="2187"/>
      <c r="K11" s="2205"/>
    </row>
    <row customHeight="true" ht="81" r="12">
      <c r="A12" s="2193" t="s">
        <v>1487</v>
      </c>
      <c r="B12" s="2206" t="s">
        <v>1488</v>
      </c>
      <c r="C12" s="2193" t="s">
        <v>1489</v>
      </c>
      <c r="D12" s="2194" t="s">
        <v>1490</v>
      </c>
      <c r="E12" s="2195">
        <v>3</v>
      </c>
      <c r="F12" s="2196" t="s">
        <v>1491</v>
      </c>
      <c r="G12" s="2196">
        <v>3</v>
      </c>
      <c r="H12" s="2197">
        <f t="shared" si="3"/>
      </c>
      <c r="I12" s="2187"/>
      <c r="K12" s="2205"/>
    </row>
    <row customHeight="true" ht="71" r="13">
      <c r="A13" s="2193"/>
      <c r="B13" s="2206"/>
      <c r="C13" s="2193" t="s">
        <v>1492</v>
      </c>
      <c r="D13" s="2194"/>
      <c r="E13" s="2195">
        <v>2</v>
      </c>
      <c r="F13" s="2196" t="s">
        <v>1479</v>
      </c>
      <c r="G13" s="2196">
        <v>2</v>
      </c>
      <c r="H13" s="2197">
        <f t="shared" si="3"/>
      </c>
      <c r="I13" s="2207"/>
      <c r="K13" s="2205"/>
    </row>
    <row customHeight="true" ht="70" r="14">
      <c r="A14" s="2193"/>
      <c r="B14" s="2206"/>
      <c r="C14" s="2193" t="s">
        <v>1493</v>
      </c>
      <c r="D14" s="2194"/>
      <c r="E14" s="2195">
        <v>2</v>
      </c>
      <c r="F14" s="2196" t="s">
        <v>1474</v>
      </c>
      <c r="G14" s="2196">
        <v>1</v>
      </c>
      <c r="H14" s="2197">
        <f t="shared" si="3"/>
      </c>
      <c r="I14" s="2207"/>
      <c r="K14" s="2205"/>
    </row>
    <row customHeight="true" ht="50" r="15">
      <c r="A15" s="2193"/>
      <c r="B15" s="2206"/>
      <c r="C15" s="2193" t="s">
        <v>1494</v>
      </c>
      <c r="D15" s="2194"/>
      <c r="E15" s="2195">
        <v>2</v>
      </c>
      <c r="F15" s="2196" t="s">
        <v>1491</v>
      </c>
      <c r="G15" s="2196">
        <v>2</v>
      </c>
      <c r="H15" s="2197">
        <f t="shared" si="3"/>
      </c>
      <c r="I15" s="2207"/>
      <c r="K15" s="2205"/>
    </row>
    <row customHeight="true" ht="50" r="16">
      <c r="A16" s="2193"/>
      <c r="B16" s="2206"/>
      <c r="C16" s="2193" t="s">
        <v>1495</v>
      </c>
      <c r="D16" s="2194"/>
      <c r="E16" s="2195">
        <v>2</v>
      </c>
      <c r="F16" s="2196" t="s">
        <v>1474</v>
      </c>
      <c r="G16" s="2196">
        <v>2</v>
      </c>
      <c r="H16" s="2197">
        <f t="shared" si="3"/>
      </c>
      <c r="I16" s="2207"/>
      <c r="K16" s="2205"/>
    </row>
    <row customHeight="true" ht="50" r="17">
      <c r="A17" s="2193"/>
      <c r="B17" s="2206"/>
      <c r="C17" s="2193" t="s">
        <v>1496</v>
      </c>
      <c r="D17" s="2194"/>
      <c r="E17" s="2195">
        <v>2</v>
      </c>
      <c r="F17" s="2196" t="s">
        <v>1479</v>
      </c>
      <c r="G17" s="2196">
        <v>1</v>
      </c>
      <c r="H17" s="2197">
        <f t="shared" si="3"/>
      </c>
      <c r="I17" s="2207"/>
      <c r="K17" s="2205"/>
    </row>
    <row customHeight="true" ht="50" r="18">
      <c r="A18" s="2193"/>
      <c r="B18" s="2206"/>
      <c r="C18" s="2193" t="s">
        <v>1497</v>
      </c>
      <c r="D18" s="2194"/>
      <c r="E18" s="2195">
        <v>2</v>
      </c>
      <c r="F18" s="2196" t="s">
        <v>1491</v>
      </c>
      <c r="G18" s="2196">
        <v>2</v>
      </c>
      <c r="H18" s="2197">
        <f t="shared" si="3"/>
      </c>
      <c r="I18" s="2207"/>
      <c r="K18" s="2205"/>
    </row>
    <row customHeight="true" ht="50" r="19">
      <c r="A19" s="2193"/>
      <c r="B19" s="2206"/>
      <c r="C19" s="2193" t="s">
        <v>1498</v>
      </c>
      <c r="D19" s="2194"/>
      <c r="E19" s="2195">
        <v>2</v>
      </c>
      <c r="F19" s="2196" t="s">
        <v>1479</v>
      </c>
      <c r="G19" s="2196">
        <v>2</v>
      </c>
      <c r="H19" s="2197">
        <f t="shared" si="3"/>
      </c>
      <c r="I19" s="2207"/>
      <c r="K19" s="2205"/>
    </row>
    <row customHeight="true" ht="50" r="20">
      <c r="A20" s="2193"/>
      <c r="B20" s="2206"/>
      <c r="C20" s="2193" t="s">
        <v>1499</v>
      </c>
      <c r="D20" s="2194"/>
      <c r="E20" s="2195">
        <v>3</v>
      </c>
      <c r="F20" s="2196" t="s">
        <v>1474</v>
      </c>
      <c r="G20" s="2196">
        <v>3</v>
      </c>
      <c r="H20" s="2197">
        <f t="shared" si="3"/>
      </c>
      <c r="I20" s="2187"/>
      <c r="K20" s="2205"/>
    </row>
    <row customHeight="true" ht="16" r="21">
      <c r="A21" s="2193"/>
      <c r="B21" s="2206"/>
      <c r="C21" s="2208" t="s">
        <v>1500</v>
      </c>
      <c r="D21" s="2208"/>
      <c r="E21" s="2209">
        <f>SUM(E11:E20)</f>
      </c>
      <c r="F21" s="2210"/>
      <c r="G21" s="2211"/>
      <c r="H21" s="2209">
        <f>SUM(H11:H20)</f>
      </c>
      <c r="I21" s="2212"/>
    </row>
    <row customHeight="true" ht="130" r="22">
      <c r="A22" s="2193" t="s">
        <v>1501</v>
      </c>
      <c r="B22" s="2206" t="s">
        <v>1484</v>
      </c>
      <c r="C22" s="2213" t="s">
        <v>1502</v>
      </c>
      <c r="D22" s="2214" t="s">
        <v>1503</v>
      </c>
      <c r="E22" s="2215">
        <v>10</v>
      </c>
      <c r="F22" s="2216" t="s">
        <v>1491</v>
      </c>
      <c r="G22" s="2216"/>
      <c r="H22" s="2217">
        <f t="shared" ref="H22:H27" si="4">E22-G22</f>
      </c>
      <c r="I22" s="2187" t="s">
        <v>1504</v>
      </c>
    </row>
    <row customHeight="true" ht="81" r="23">
      <c r="A23" s="2193"/>
      <c r="B23" s="2206"/>
      <c r="C23" s="2218" t="s">
        <v>1502</v>
      </c>
      <c r="D23" s="2219" t="s">
        <v>1505</v>
      </c>
      <c r="E23" s="2220">
        <v>5</v>
      </c>
      <c r="F23" s="2221" t="s">
        <v>1479</v>
      </c>
      <c r="G23" s="2221">
        <v>3</v>
      </c>
      <c r="H23" s="2222">
        <f t="shared" si="4"/>
      </c>
      <c r="I23" s="2187"/>
    </row>
    <row customHeight="true" ht="70" r="24">
      <c r="A24" s="2193"/>
      <c r="B24" s="2206"/>
      <c r="C24" s="2223" t="s">
        <v>1502</v>
      </c>
      <c r="D24" s="2224" t="s">
        <v>1506</v>
      </c>
      <c r="E24" s="2225">
        <v>5</v>
      </c>
      <c r="F24" s="2226" t="s">
        <v>1474</v>
      </c>
      <c r="G24" s="2226">
        <v>2</v>
      </c>
      <c r="H24" s="2227">
        <f t="shared" si="4"/>
      </c>
      <c r="I24" s="2187"/>
      <c r="J24" s="2187"/>
    </row>
    <row customHeight="true" ht="77" r="25">
      <c r="A25" s="2193" t="s">
        <v>1507</v>
      </c>
      <c r="B25" s="2206"/>
      <c r="C25" s="2180" t="s">
        <v>1508</v>
      </c>
      <c r="D25" s="2228" t="s">
        <v>1509</v>
      </c>
      <c r="E25" s="2199">
        <v>10</v>
      </c>
      <c r="F25" s="2200" t="s">
        <v>1479</v>
      </c>
      <c r="G25" s="2200">
        <v>1</v>
      </c>
      <c r="H25" s="2201">
        <f t="shared" si="4"/>
      </c>
      <c r="I25" s="2187"/>
    </row>
    <row customHeight="true" ht="75" r="26">
      <c r="A26" s="2193"/>
      <c r="B26" s="2206"/>
      <c r="C26" s="2229" t="s">
        <v>1510</v>
      </c>
      <c r="D26" s="2230" t="s">
        <v>1511</v>
      </c>
      <c r="E26" s="2195">
        <v>10</v>
      </c>
      <c r="F26" s="2196" t="s">
        <v>1491</v>
      </c>
      <c r="G26" s="2196">
        <v>6</v>
      </c>
      <c r="H26" s="2195">
        <f t="shared" si="4"/>
      </c>
      <c r="I26" s="2187"/>
    </row>
    <row customHeight="true" hidden="true" ht="75" r="27">
      <c r="A27" s="2193"/>
      <c r="B27" s="2206"/>
      <c r="C27" s="2180"/>
      <c r="D27" s="2228"/>
      <c r="E27" s="2199"/>
      <c r="F27" s="2200"/>
      <c r="G27" s="2200"/>
      <c r="H27" s="2199">
        <f t="shared" si="4"/>
      </c>
      <c r="I27" s="2187"/>
    </row>
    <row customHeight="true" hidden="true" ht="30" r="28">
      <c r="A28" s="2193"/>
      <c r="B28" s="2206"/>
      <c r="C28" s="2218"/>
      <c r="D28" s="2218"/>
      <c r="E28" s="2220"/>
      <c r="F28" s="2221"/>
      <c r="G28" s="2221"/>
      <c r="H28" s="2222"/>
      <c r="I28" s="2212"/>
    </row>
    <row customHeight="true" hidden="true" ht="30" r="29">
      <c r="A29" s="2193"/>
      <c r="B29" s="2206"/>
      <c r="C29" s="2231"/>
      <c r="D29" s="2231"/>
      <c r="E29" s="2232"/>
      <c r="F29" s="2233"/>
      <c r="G29" s="2233"/>
      <c r="H29" s="2234"/>
      <c r="I29" s="2212"/>
    </row>
    <row customHeight="true" hidden="true" ht="26" r="30">
      <c r="A30" s="2193"/>
      <c r="B30" s="2206"/>
      <c r="C30" s="2231"/>
      <c r="D30" s="2231"/>
      <c r="E30" s="2232"/>
      <c r="F30" s="2233"/>
      <c r="G30" s="2233"/>
      <c r="H30" s="2234"/>
      <c r="I30" s="2212"/>
    </row>
    <row customHeight="true" ht="16" r="31">
      <c r="A31" s="2193"/>
      <c r="B31" s="2206"/>
      <c r="C31" s="2208" t="s">
        <v>1500</v>
      </c>
      <c r="D31" s="2208"/>
      <c r="E31" s="2209">
        <f>SUM(E22:E27)</f>
      </c>
      <c r="F31" s="2210"/>
      <c r="G31" s="2211"/>
      <c r="H31" s="2209">
        <f>SUM(H22:H27)</f>
      </c>
      <c r="I31" s="2212"/>
    </row>
    <row customHeight="true" hidden="true" ht="76" r="32">
      <c r="A32" s="2193"/>
      <c r="B32" s="2181"/>
      <c r="C32" s="2235"/>
      <c r="D32" s="2236"/>
      <c r="E32" s="2237"/>
      <c r="F32" s="2238" t="s">
        <v>1474</v>
      </c>
      <c r="G32" s="2238"/>
      <c r="H32" s="2239">
        <f t="shared" ref="H32:H36" si="5">E32-G32</f>
      </c>
      <c r="I32" s="2240"/>
      <c r="J32" s="2212"/>
    </row>
    <row customHeight="true" hidden="true" ht="84" r="33">
      <c r="A33" s="2193"/>
      <c r="B33" s="2181"/>
      <c r="C33" s="2180"/>
      <c r="D33" s="2228"/>
      <c r="E33" s="2199"/>
      <c r="F33" s="2200" t="s">
        <v>1474</v>
      </c>
      <c r="G33" s="2200"/>
      <c r="H33" s="2241">
        <f t="shared" si="5"/>
      </c>
      <c r="I33" s="2240"/>
      <c r="J33" s="2212"/>
    </row>
    <row customHeight="true" hidden="true" ht="56" r="34">
      <c r="A34" s="2193"/>
      <c r="B34" s="2181"/>
      <c r="C34" s="2218"/>
      <c r="D34" s="2242"/>
      <c r="E34" s="2220"/>
      <c r="F34" s="2221" t="s">
        <v>1474</v>
      </c>
      <c r="G34" s="2221"/>
      <c r="H34" s="2243">
        <f t="shared" si="5"/>
      </c>
      <c r="I34" s="2187"/>
      <c r="J34" s="2187"/>
    </row>
    <row customHeight="true" hidden="true" ht="53" r="35">
      <c r="A35" s="2193"/>
      <c r="B35" s="2181"/>
      <c r="C35" s="2244"/>
      <c r="D35" s="2245"/>
      <c r="E35" s="2246"/>
      <c r="F35" s="2247" t="s">
        <v>1474</v>
      </c>
      <c r="G35" s="2247"/>
      <c r="H35" s="2248">
        <f t="shared" si="5"/>
      </c>
      <c r="I35" s="2187"/>
      <c r="J35" s="2212"/>
    </row>
    <row customHeight="true" hidden="true" ht="57" r="36">
      <c r="A36" s="2193"/>
      <c r="B36" s="2181"/>
      <c r="C36" s="2231"/>
      <c r="D36" s="2249"/>
      <c r="E36" s="2232"/>
      <c r="F36" s="2233" t="s">
        <v>1474</v>
      </c>
      <c r="G36" s="2233"/>
      <c r="H36" s="2250">
        <f t="shared" si="5"/>
      </c>
      <c r="I36" s="2187"/>
      <c r="J36" s="2187" t="s">
        <v>1512</v>
      </c>
    </row>
    <row customHeight="true" hidden="true" ht="57" r="37">
      <c r="A37" s="2193"/>
      <c r="B37" s="2181"/>
      <c r="C37" s="2231"/>
      <c r="D37" s="2249"/>
      <c r="E37" s="2232"/>
      <c r="F37" s="2233" t="s">
        <v>1474</v>
      </c>
      <c r="G37" s="2233"/>
      <c r="H37" s="2250"/>
      <c r="I37" s="2187"/>
      <c r="J37" s="2187"/>
    </row>
    <row customHeight="true" hidden="true" ht="102" r="38">
      <c r="A38" s="2193"/>
      <c r="B38" s="2181" t="s">
        <v>1513</v>
      </c>
      <c r="C38" s="2213"/>
      <c r="D38" s="2251"/>
      <c r="E38" s="2215"/>
      <c r="F38" s="2216" t="s">
        <v>1514</v>
      </c>
      <c r="G38" s="2216"/>
      <c r="H38" s="2252">
        <f t="shared" ref="H38:H48" si="6">E38-G38</f>
      </c>
      <c r="I38" s="2187"/>
      <c r="J38" s="2187"/>
    </row>
    <row customHeight="true" hidden="true" ht="55" r="39">
      <c r="A39" s="2193"/>
      <c r="B39" s="2181"/>
      <c r="C39" s="2182"/>
      <c r="D39" s="2253"/>
      <c r="E39" s="2184"/>
      <c r="F39" s="2185" t="s">
        <v>1514</v>
      </c>
      <c r="G39" s="2185"/>
      <c r="H39" s="2254">
        <f t="shared" si="6"/>
      </c>
      <c r="I39" s="2255"/>
      <c r="J39" s="2187"/>
    </row>
    <row customHeight="true" hidden="true" ht="49" r="40">
      <c r="A40" s="2193"/>
      <c r="B40" s="2181"/>
      <c r="C40" s="2188"/>
      <c r="D40" s="2256"/>
      <c r="E40" s="2190"/>
      <c r="F40" s="2191" t="s">
        <v>1479</v>
      </c>
      <c r="G40" s="2191"/>
      <c r="H40" s="2257">
        <f t="shared" si="6"/>
      </c>
      <c r="I40" s="2187"/>
      <c r="J40" s="2187"/>
    </row>
    <row customHeight="true" hidden="true" ht="57" r="41">
      <c r="A41" s="2193"/>
      <c r="B41" s="2181"/>
      <c r="C41" s="2193"/>
      <c r="D41" s="2194"/>
      <c r="E41" s="2258"/>
      <c r="F41" s="2259" t="s">
        <v>1479</v>
      </c>
      <c r="G41" s="2259"/>
      <c r="H41" s="2258">
        <f t="shared" si="6"/>
      </c>
      <c r="I41" s="2187"/>
      <c r="J41" s="2212"/>
    </row>
    <row customHeight="true" hidden="true" ht="16" r="42">
      <c r="A42" s="2193"/>
      <c r="B42" s="2181"/>
      <c r="C42" s="2193"/>
      <c r="D42" s="2194"/>
      <c r="E42" s="2260"/>
      <c r="F42" s="2261" t="s">
        <v>1515</v>
      </c>
      <c r="G42" s="2261"/>
      <c r="H42" s="2241">
        <f t="shared" si="6"/>
      </c>
      <c r="I42" s="2187"/>
      <c r="J42" s="2212"/>
    </row>
    <row customHeight="true" hidden="true" ht="16" r="43">
      <c r="A43" s="2193"/>
      <c r="B43" s="2181"/>
      <c r="C43" s="2262"/>
      <c r="D43" s="2263"/>
      <c r="E43" s="2264"/>
      <c r="F43" s="2265"/>
      <c r="G43" s="2265"/>
      <c r="H43" s="2243">
        <f t="shared" si="6"/>
      </c>
      <c r="I43" s="2212"/>
      <c r="J43" s="2212"/>
    </row>
    <row customHeight="true" hidden="true" ht="31" r="44">
      <c r="A44" s="2193"/>
      <c r="B44" s="2181"/>
      <c r="C44" s="2266"/>
      <c r="D44" s="2267"/>
      <c r="E44" s="2268"/>
      <c r="F44" s="2269"/>
      <c r="G44" s="2269"/>
      <c r="H44" s="2248">
        <f t="shared" si="6"/>
      </c>
      <c r="I44" s="2187"/>
      <c r="J44" s="2212"/>
    </row>
    <row customHeight="true" hidden="true" ht="31" r="45">
      <c r="A45" s="2193"/>
      <c r="B45" s="2181"/>
      <c r="C45" s="2270"/>
      <c r="D45" s="2271"/>
      <c r="E45" s="2272"/>
      <c r="F45" s="2273"/>
      <c r="G45" s="2273"/>
      <c r="H45" s="2250">
        <f t="shared" si="6"/>
      </c>
      <c r="I45" s="2187"/>
      <c r="J45" s="2212"/>
    </row>
    <row customHeight="true" hidden="true" ht="31" r="46">
      <c r="A46" s="2193"/>
      <c r="B46" s="2181"/>
      <c r="C46" s="2274"/>
      <c r="D46" s="2275"/>
      <c r="E46" s="2276"/>
      <c r="F46" s="2277"/>
      <c r="G46" s="2277"/>
      <c r="H46" s="2252">
        <f t="shared" si="6"/>
      </c>
      <c r="I46" s="2187"/>
      <c r="J46" s="2212"/>
    </row>
    <row customHeight="true" hidden="true" ht="56" r="47">
      <c r="A47" s="2193"/>
      <c r="B47" s="2181"/>
      <c r="C47" s="2278"/>
      <c r="D47" s="2279"/>
      <c r="E47" s="2280"/>
      <c r="F47" s="2281"/>
      <c r="G47" s="2281"/>
      <c r="H47" s="2257">
        <f t="shared" si="6"/>
      </c>
      <c r="I47" s="2187"/>
      <c r="J47" s="2212"/>
    </row>
    <row customHeight="true" hidden="true" ht="31" r="48">
      <c r="A48" s="2193"/>
      <c r="B48" s="2181"/>
      <c r="C48" s="2282"/>
      <c r="D48" s="2283"/>
      <c r="E48" s="2258"/>
      <c r="F48" s="2259"/>
      <c r="G48" s="2259"/>
      <c r="H48" s="2284">
        <f t="shared" si="6"/>
      </c>
      <c r="I48" s="2212"/>
      <c r="J48" s="2212"/>
    </row>
    <row customHeight="true" hidden="true" ht="15" r="49">
      <c r="A49" s="2193"/>
      <c r="B49" s="2181"/>
      <c r="C49" s="2285" t="s">
        <v>1500</v>
      </c>
      <c r="D49" s="2285"/>
      <c r="E49" s="2286">
        <f>SUM(E32:E48)</f>
      </c>
      <c r="F49" s="2287"/>
      <c r="G49" s="2288"/>
      <c r="H49" s="2286">
        <f>SUM(H32:H41)</f>
      </c>
      <c r="I49" s="2212"/>
      <c r="J49" s="2212"/>
    </row>
    <row customHeight="true" hidden="true" ht="78" r="50">
      <c r="A50" s="2193"/>
      <c r="B50" s="2206"/>
      <c r="C50" s="2223"/>
      <c r="D50" s="2224"/>
      <c r="E50" s="2225"/>
      <c r="F50" s="2226"/>
      <c r="G50" s="2226"/>
      <c r="H50" s="2227">
        <f t="shared" ref="H50:H54" si="7">E50-G50</f>
      </c>
      <c r="I50" s="2187"/>
    </row>
    <row customHeight="true" hidden="true" ht="79" r="51">
      <c r="A51" s="2193"/>
      <c r="B51" s="2206"/>
      <c r="C51" s="2289"/>
      <c r="D51" s="2189"/>
      <c r="E51" s="2280"/>
      <c r="F51" s="2281"/>
      <c r="G51" s="2281"/>
      <c r="H51" s="2257">
        <f t="shared" si="7"/>
      </c>
      <c r="I51" s="2187"/>
    </row>
    <row customHeight="true" hidden="true" ht="99" r="52">
      <c r="A52" s="2193"/>
      <c r="B52" s="2206"/>
      <c r="C52" s="2290"/>
      <c r="D52" s="2194"/>
      <c r="E52" s="2258"/>
      <c r="F52" s="2259"/>
      <c r="G52" s="2259"/>
      <c r="H52" s="2284">
        <f t="shared" si="7"/>
      </c>
      <c r="I52" s="2187"/>
    </row>
    <row customHeight="true" hidden="true" ht="60" r="53">
      <c r="A53" s="2193"/>
      <c r="B53" s="2206"/>
      <c r="C53" s="2291"/>
      <c r="D53" s="2292"/>
      <c r="E53" s="2260"/>
      <c r="F53" s="2261"/>
      <c r="G53" s="2261"/>
      <c r="H53" s="2241">
        <f t="shared" si="7"/>
      </c>
      <c r="I53" s="2187"/>
    </row>
    <row customHeight="true" hidden="true" ht="54" r="54">
      <c r="A54" s="2193"/>
      <c r="B54" s="2206"/>
      <c r="C54" s="2262"/>
      <c r="D54" s="2263"/>
      <c r="E54" s="2264"/>
      <c r="F54" s="2265"/>
      <c r="G54" s="2265"/>
      <c r="H54" s="2243">
        <f t="shared" si="7"/>
      </c>
      <c r="I54" s="2187" t="s">
        <v>1516</v>
      </c>
    </row>
    <row customHeight="true" hidden="true" ht="13" r="55">
      <c r="A55" s="2193"/>
      <c r="B55" s="2206"/>
      <c r="C55" s="2285" t="s">
        <v>1500</v>
      </c>
      <c r="D55" s="2285"/>
      <c r="E55" s="2286">
        <f>SUM(E50:E54)</f>
      </c>
      <c r="F55" s="2287"/>
      <c r="G55" s="2288"/>
      <c r="H55" s="2286">
        <f>SUM(H50:H54)</f>
      </c>
      <c r="I55" s="2212"/>
    </row>
    <row customHeight="true" hidden="true" ht="16" r="56">
      <c r="A56" s="2202" t="s">
        <v>1482</v>
      </c>
      <c r="B56" s="2202"/>
      <c r="C56" s="2202"/>
      <c r="D56" s="2202"/>
      <c r="E56" s="2203">
        <f>SUM(E21,E31,E49,E55)</f>
      </c>
      <c r="F56" s="2204"/>
      <c r="G56" s="2293"/>
      <c r="H56" s="2203">
        <f>SUM(H21,H31,H49,H55)</f>
      </c>
      <c r="I56" s="2212"/>
      <c r="J56" s="2187"/>
    </row>
    <row customHeight="true" hidden="true" ht="185" r="57">
      <c r="A57" s="2213"/>
      <c r="B57" s="2206"/>
      <c r="C57" s="2256"/>
      <c r="D57" s="2242"/>
      <c r="E57" s="2220"/>
      <c r="F57" s="2221"/>
      <c r="G57" s="2221"/>
      <c r="H57" s="2243">
        <f>E57-G57</f>
      </c>
      <c r="I57" s="2207" t="s">
        <v>1517</v>
      </c>
      <c r="J57" s="2240"/>
    </row>
    <row customHeight="true" hidden="true" ht="43" r="58">
      <c r="A58" s="2213"/>
      <c r="B58" s="2206"/>
      <c r="C58" s="2188"/>
      <c r="D58" s="2242"/>
      <c r="E58" s="2220"/>
      <c r="F58" s="2221"/>
      <c r="G58" s="2221"/>
      <c r="H58" s="2243"/>
      <c r="I58" s="2207"/>
    </row>
    <row customHeight="true" hidden="true" ht="41" r="59">
      <c r="A59" s="2213"/>
      <c r="B59" s="2206"/>
      <c r="C59" s="2188"/>
      <c r="D59" s="2242"/>
      <c r="E59" s="2220"/>
      <c r="F59" s="2265"/>
      <c r="G59" s="2265"/>
      <c r="H59" s="2243">
        <f t="shared" ref="H59:H62" si="8">E59-G59</f>
      </c>
      <c r="I59" s="2207"/>
    </row>
    <row customHeight="true" hidden="true" ht="41" r="60">
      <c r="A60" s="2213"/>
      <c r="B60" s="2206"/>
      <c r="C60" s="2188"/>
      <c r="D60" s="2242"/>
      <c r="E60" s="2220"/>
      <c r="F60" s="2277"/>
      <c r="G60" s="2277"/>
      <c r="H60" s="2252">
        <f t="shared" si="8"/>
      </c>
      <c r="I60" s="2207"/>
      <c r="J60" s="2187"/>
    </row>
    <row customHeight="true" hidden="true" ht="41" r="61">
      <c r="A61" s="2213"/>
      <c r="B61" s="2206"/>
      <c r="C61" s="2188"/>
      <c r="D61" s="2242"/>
      <c r="E61" s="2220"/>
      <c r="F61" s="2294"/>
      <c r="G61" s="2294"/>
      <c r="H61" s="2239">
        <f t="shared" si="8"/>
      </c>
      <c r="I61" s="2207"/>
      <c r="J61" s="2187"/>
    </row>
    <row customHeight="true" hidden="true" ht="41" r="62">
      <c r="A62" s="2213"/>
      <c r="B62" s="2206"/>
      <c r="C62" s="2188"/>
      <c r="D62" s="2242"/>
      <c r="E62" s="2220"/>
      <c r="F62" s="2281"/>
      <c r="G62" s="2281"/>
      <c r="H62" s="2257">
        <f t="shared" si="8"/>
      </c>
      <c r="I62" s="2207"/>
      <c r="J62" s="2187"/>
    </row>
    <row customHeight="true" hidden="true" ht="16" r="63">
      <c r="A63" s="2213"/>
      <c r="B63" s="2206"/>
      <c r="C63" s="2285" t="s">
        <v>1500</v>
      </c>
      <c r="D63" s="2285"/>
      <c r="E63" s="2286">
        <f>SUM(E57:E62)</f>
      </c>
      <c r="F63" s="2287"/>
      <c r="G63" s="2288"/>
      <c r="H63" s="2286">
        <f>SUM(H57:H62)</f>
      </c>
    </row>
    <row customHeight="true" hidden="true" ht="16" r="64">
      <c r="A64" s="2202" t="s">
        <v>1482</v>
      </c>
      <c r="B64" s="2202"/>
      <c r="C64" s="2202"/>
      <c r="D64" s="2202"/>
      <c r="E64" s="2203">
        <f>SUM(E63)</f>
      </c>
      <c r="F64" s="2204"/>
      <c r="G64" s="2293"/>
      <c r="H64" s="2203">
        <f>SUM(H63)</f>
      </c>
      <c r="I64" s="2212"/>
    </row>
    <row customHeight="true" ht="100" r="65">
      <c r="A65" s="2231" t="s">
        <v>1518</v>
      </c>
      <c r="B65" s="2206" t="s">
        <v>1513</v>
      </c>
      <c r="C65" s="2231" t="s">
        <v>1519</v>
      </c>
      <c r="D65" s="2249" t="s">
        <v>1520</v>
      </c>
      <c r="E65" s="2232"/>
      <c r="F65" s="2233"/>
      <c r="G65" s="2233"/>
      <c r="H65" s="2250">
        <f>E65-G65</f>
      </c>
      <c r="I65" s="2212"/>
      <c r="J65" s="2212"/>
    </row>
    <row customHeight="true" ht="17" r="66">
      <c r="A66" s="2202" t="s">
        <v>1482</v>
      </c>
      <c r="B66" s="2202"/>
      <c r="C66" s="2202"/>
      <c r="D66" s="2202"/>
      <c r="E66" s="2203">
        <f>SUM(E65)</f>
      </c>
      <c r="F66" s="2204"/>
      <c r="G66" s="2293"/>
      <c r="H66" s="2203">
        <f>SUM(H65)</f>
      </c>
      <c r="I66" s="2212"/>
      <c r="J66" s="2212"/>
    </row>
    <row customHeight="true" ht="16" r="67">
      <c r="A67" s="2203" t="s">
        <v>1500</v>
      </c>
      <c r="B67" s="2203"/>
      <c r="C67" s="2203"/>
      <c r="D67" s="2203"/>
      <c r="E67" s="2203">
        <f>SUM(E10,E56,E64,E66)</f>
      </c>
      <c r="F67" s="2204"/>
      <c r="G67" s="2295"/>
      <c r="H67" s="2203">
        <f>SUM(H10,H56,H64,H66)</f>
      </c>
      <c r="I67" s="2187"/>
      <c r="J67" s="2212"/>
    </row>
    <row customHeight="true" ht="16" r="68">
      <c r="B68" s="2212"/>
      <c r="C68" s="2212"/>
      <c r="D68" s="2212"/>
      <c r="E68" s="2212"/>
      <c r="F68" s="2187"/>
      <c r="G68" s="2187"/>
      <c r="H68" s="2187"/>
      <c r="I68" s="2212"/>
      <c r="J68" s="2212"/>
    </row>
    <row customHeight="true" ht="16" r="69">
      <c r="B69" s="2212"/>
      <c r="C69" s="2212"/>
      <c r="D69" s="2212"/>
      <c r="E69" s="2212"/>
      <c r="F69" s="2187"/>
      <c r="G69" s="2187"/>
      <c r="H69" s="2187"/>
      <c r="I69" s="2212"/>
      <c r="J69" s="2187"/>
      <c r="K69" s="2187"/>
      <c r="L69" s="2187"/>
      <c r="M69" s="2187"/>
      <c r="N69" s="2187"/>
      <c r="O69" s="2187"/>
      <c r="P69" s="2187"/>
    </row>
    <row r="70">
      <c r="D70" s="2212"/>
      <c r="E70" s="2211" t="s">
        <v>1521</v>
      </c>
      <c r="F70" s="2296" t="s">
        <v>1459</v>
      </c>
      <c r="G70" s="2296" t="s">
        <v>1522</v>
      </c>
      <c r="H70" s="2296" t="s">
        <v>1462</v>
      </c>
      <c r="I70" s="2187"/>
      <c r="J70" s="2187"/>
      <c r="M70" s="2187"/>
    </row>
    <row r="71">
      <c r="D71" s="2212"/>
      <c r="E71" s="2297" t="s">
        <v>1468</v>
      </c>
      <c r="F71" s="2298">
        <f>SUMIF(F2:F67,"Huyền",E2:E67)</f>
      </c>
      <c r="G71" s="2298">
        <f>SUMIF(F2:F67,"Huyền",G2:G67)</f>
      </c>
      <c r="H71" s="2298">
        <f t="shared" ref="H71:H78" si="1">F71-G71</f>
      </c>
      <c r="I71" s="2187"/>
      <c r="J71" s="2187"/>
    </row>
    <row r="72">
      <c r="D72" s="2187"/>
      <c r="E72" s="2296" t="s">
        <v>1474</v>
      </c>
      <c r="F72" s="2211">
        <f>SUMIF(F2:F67,"Hoa",E2:E67)</f>
      </c>
      <c r="G72" s="2298">
        <f>SUMIF(F2:F67,"Hoa",G2:G67)</f>
      </c>
      <c r="H72" s="2211">
        <f t="shared" si="1"/>
      </c>
      <c r="I72" s="2187"/>
      <c r="J72" s="2187"/>
      <c r="K72" s="2187" t="s">
        <v>1523</v>
      </c>
      <c r="L72" s="2187" t="s">
        <v>1524</v>
      </c>
      <c r="M72" s="2187" t="s">
        <v>1525</v>
      </c>
      <c r="N72" s="2187" t="s">
        <v>1526</v>
      </c>
      <c r="O72" s="2187" t="s">
        <v>1527</v>
      </c>
      <c r="P72" s="2187" t="s">
        <v>1528</v>
      </c>
      <c r="Q72" s="2187" t="s">
        <v>1474</v>
      </c>
      <c r="R72" s="2187" t="s">
        <v>1479</v>
      </c>
      <c r="S72" s="2187" t="s">
        <v>1529</v>
      </c>
      <c r="T72" s="2187" t="s">
        <v>1530</v>
      </c>
      <c r="U72" s="2187"/>
      <c r="V72" s="2187"/>
    </row>
    <row r="73">
      <c r="D73" s="2187"/>
      <c r="E73" s="2211" t="s">
        <v>1491</v>
      </c>
      <c r="F73" s="2288">
        <f>SUMIF(F2:F67,"Thúy",E2:E67)</f>
      </c>
      <c r="G73" s="2298">
        <f>SUMIF(F2:F67,"Thúy",G2:G67)</f>
      </c>
      <c r="H73" s="2211">
        <f t="shared" si="1"/>
      </c>
      <c r="I73" s="2187"/>
      <c r="J73" s="2187" t="s">
        <v>1531</v>
      </c>
      <c r="K73" s="2187">
        <v>10</v>
      </c>
      <c r="L73" s="2187">
        <v>25</v>
      </c>
      <c r="M73" s="2299">
        <v>5</v>
      </c>
      <c r="N73" s="2187"/>
      <c r="O73" s="2299">
        <v>10</v>
      </c>
      <c r="P73" s="2187"/>
      <c r="S73" s="2187"/>
      <c r="T73">
        <f t="shared" ref="T73:T78" si="0">SUM(K73:S73)</f>
      </c>
    </row>
    <row r="74">
      <c r="D74" s="2187"/>
      <c r="E74" s="2296" t="s">
        <v>1514</v>
      </c>
      <c r="F74" s="2300">
        <f>SUMIF(F2:F67,"Ngân",E2:E67)</f>
      </c>
      <c r="G74" s="2298">
        <f>SUMIF(F2:F67,"Ngân",G2:G67)</f>
      </c>
      <c r="H74" s="2301">
        <f t="shared" si="1"/>
      </c>
      <c r="I74" s="2187"/>
      <c r="J74" s="2187" t="s">
        <v>1532</v>
      </c>
      <c r="L74" s="2187"/>
      <c r="O74" s="2187">
        <v>15</v>
      </c>
      <c r="P74" s="2187"/>
      <c r="S74" s="2187">
        <v>25</v>
      </c>
      <c r="T74">
        <f t="shared" si="0"/>
      </c>
    </row>
    <row customHeight="true" ht="16" r="75">
      <c r="D75" s="2212"/>
      <c r="E75" s="2302" t="s">
        <v>1515</v>
      </c>
      <c r="F75" s="2303">
        <f>SUMIF(F2:F67,"Bích",E2:E67)</f>
      </c>
      <c r="G75" s="2298">
        <f>SUMIF(F2:F67,"Bích",G2:G67)</f>
      </c>
      <c r="H75" s="2304">
        <f t="shared" si="1"/>
      </c>
      <c r="I75" s="2187"/>
      <c r="J75" s="2187" t="s">
        <v>1533</v>
      </c>
      <c r="M75" s="2187">
        <v>20</v>
      </c>
      <c r="P75" s="2187"/>
      <c r="Q75" s="2187"/>
      <c r="T75">
        <f t="shared" si="0"/>
      </c>
    </row>
    <row customHeight="true" ht="16" r="76">
      <c r="D76" s="2212"/>
      <c r="E76" s="2305" t="s">
        <v>1479</v>
      </c>
      <c r="F76" s="2306">
        <f>SUMIF(F3:F67,"Phương",E3:E67)</f>
      </c>
      <c r="G76" s="2298">
        <f>SUMIF(F2:F67,"Phương",G2:G67)</f>
      </c>
      <c r="H76" s="2307">
        <f t="shared" si="1"/>
      </c>
      <c r="I76" s="2187"/>
      <c r="J76" s="2187" t="s">
        <v>1534</v>
      </c>
      <c r="K76" s="2187">
        <v>15</v>
      </c>
      <c r="L76" s="2187"/>
      <c r="T76">
        <f t="shared" si="0"/>
      </c>
    </row>
    <row r="77">
      <c r="D77" s="2212"/>
      <c r="E77" s="2305" t="s">
        <v>1527</v>
      </c>
      <c r="F77" s="2306">
        <f>SUMIF(F4:F68,"Mai",E4:E68)</f>
      </c>
      <c r="G77" s="2298">
        <f>SUMIF(F2:F67,"Mai",G2:G67)</f>
      </c>
      <c r="H77" s="2307">
        <f t="shared" si="1"/>
      </c>
      <c r="I77" s="2187"/>
      <c r="J77" s="2187" t="s">
        <v>1535</v>
      </c>
      <c r="M77" s="2187"/>
      <c r="O77" s="2187"/>
      <c r="P77" s="2187">
        <v>20</v>
      </c>
      <c r="Q77" s="2187">
        <v>20</v>
      </c>
      <c r="R77" s="2187">
        <v>20</v>
      </c>
      <c r="S77" s="2187"/>
      <c r="T77">
        <f t="shared" si="0"/>
      </c>
    </row>
    <row r="78">
      <c r="D78" s="2187"/>
      <c r="E78" s="2308" t="s">
        <v>1500</v>
      </c>
      <c r="F78" s="2309">
        <f>SUM(F71:F77)</f>
      </c>
      <c r="G78" s="2298">
        <f>SUM(G71:G77)</f>
      </c>
      <c r="H78" s="2309">
        <f t="shared" si="1"/>
      </c>
      <c r="I78" s="2187"/>
      <c r="J78" s="2187" t="s">
        <v>1482</v>
      </c>
      <c r="K78">
        <f>SUM(K73:K77)</f>
      </c>
      <c r="L78">
        <f>SUM(L73:L77)</f>
      </c>
      <c r="M78">
        <f>SUM(M73:M77)</f>
      </c>
      <c r="N78">
        <f>SUM(N73:N77)</f>
      </c>
      <c r="O78">
        <f>SUM(O73:O77)</f>
      </c>
      <c r="P78">
        <f>SUM(P73:P77)</f>
      </c>
      <c r="Q78">
        <f>SUM(Q73:Q77)</f>
      </c>
      <c r="R78">
        <f>SUM(R73:R77)</f>
      </c>
      <c r="S78">
        <f>SUM(S73:S77)</f>
      </c>
      <c r="T78">
        <f t="shared" si="0"/>
      </c>
    </row>
    <row r="79">
      <c r="F79" s="2212"/>
      <c r="G79" s="2212"/>
      <c r="H79" s="2212"/>
      <c r="I79" s="2187"/>
      <c r="L79" s="2187"/>
      <c r="N79" s="2187"/>
    </row>
    <row r="80">
      <c r="J80" s="2187"/>
      <c r="K80" s="2187"/>
      <c r="L80" s="2187"/>
      <c r="M80" s="2187"/>
      <c r="N80" s="2187"/>
      <c r="O80" s="2187"/>
      <c r="P80" s="2187"/>
      <c r="Q80" s="2187"/>
      <c r="R80" s="2187"/>
      <c r="S80" s="2187"/>
      <c r="T80" s="2187"/>
    </row>
    <row r="81">
      <c r="J81" s="2187"/>
      <c r="K81" s="2187"/>
      <c r="L81" s="2187"/>
      <c r="M81" s="2187"/>
      <c r="N81" s="2187"/>
      <c r="O81" s="2187"/>
      <c r="P81" s="2187"/>
    </row>
    <row r="82">
      <c r="J82" s="2187"/>
      <c r="L82" s="2187"/>
      <c r="N82" s="2187"/>
      <c r="O82" s="2187"/>
      <c r="P82" s="2187"/>
      <c r="S82" s="2187"/>
    </row>
    <row r="83">
      <c r="J83" s="2187"/>
      <c r="M83" s="2187"/>
      <c r="Q83" s="2187"/>
    </row>
    <row r="84">
      <c r="J84" s="2187"/>
      <c r="K84" s="2187"/>
      <c r="L84" s="2187"/>
    </row>
    <row r="85">
      <c r="J85" s="2187"/>
      <c r="M85" s="2187"/>
      <c r="O85" s="2187"/>
      <c r="P85" s="2187"/>
      <c r="Q85" s="2187"/>
      <c r="R85" s="2187"/>
      <c r="S85" s="2187"/>
    </row>
    <row r="86">
      <c r="J86" s="2187"/>
    </row>
  </sheetData>
  <mergeCells>
    <mergeCell ref="A2:A4"/>
    <mergeCell ref="B2:B4"/>
    <mergeCell ref="B5:B8"/>
    <mergeCell ref="C31:D31"/>
    <mergeCell ref="B38:B39"/>
    <mergeCell ref="A56:D56"/>
    <mergeCell ref="C55:D55"/>
    <mergeCell ref="C49:D49"/>
    <mergeCell ref="C63:D63"/>
    <mergeCell ref="A64:D64"/>
    <mergeCell ref="A66:D66"/>
    <mergeCell ref="A67:D67"/>
    <mergeCell ref="I57:I62"/>
    <mergeCell ref="A10:D10"/>
    <mergeCell ref="C21:D21"/>
    <mergeCell ref="I14:I19"/>
    <mergeCell ref="D12:D20"/>
    <mergeCell ref="A12:A20"/>
    <mergeCell ref="A22:A24"/>
    <mergeCell ref="A25:A26"/>
    <mergeCell ref="B22:B26"/>
    <mergeCell ref="A5:A9"/>
    <mergeCell ref="B12:B20"/>
  </mergeCells>
  <picture r:id="rId1"/>
</worksheet>
</file>

<file path=xl/worksheets/sheet2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6" min="6" style="0" width="11"/>
    <col collapsed="false" customWidth="true" hidden="false" max="10" min="10" style="0" width="5"/>
    <col collapsed="false" customWidth="true" hidden="false" max="14" min="14" style="0" width="7"/>
    <col collapsed="false" customWidth="true" hidden="false" max="18" min="18" style="0" width="7"/>
    <col collapsed="false" customWidth="true" hidden="false" max="22" min="22" style="0" width="11"/>
    <col collapsed="false" customWidth="true" hidden="false" max="2" min="2" style="0" width="22"/>
    <col collapsed="false" customWidth="true" hidden="false" max="7" min="7" style="0" width="11"/>
    <col collapsed="false" customWidth="true" hidden="false" max="11" min="11" style="0" width="8"/>
    <col collapsed="false" customWidth="true" hidden="false" max="15" min="15" style="0" width="7"/>
    <col collapsed="false" customWidth="true" hidden="false" max="19" min="19" style="0" width="10"/>
    <col collapsed="false" customWidth="true" hidden="false" max="3" min="3" style="0" width="22"/>
    <col collapsed="false" customWidth="true" hidden="false" max="8" min="8" style="0" width="11"/>
    <col collapsed="false" customWidth="true" hidden="false" max="12" min="12" style="0" width="7"/>
    <col collapsed="false" customWidth="true" hidden="false" max="16" min="16" style="0" width="6"/>
    <col collapsed="false" customWidth="true" hidden="false" max="4" min="4" style="0" width="29"/>
    <col collapsed="false" customWidth="true" hidden="false" max="5" min="5" style="0" width="11"/>
    <col collapsed="false" customWidth="true" hidden="false" max="9" min="9" style="0" width="18"/>
    <col collapsed="false" customWidth="true" hidden="false" max="13" min="13" style="0" width="7"/>
    <col collapsed="false" customWidth="true" hidden="false" max="17" min="17" style="0" width="6"/>
    <col collapsed="false" customWidth="true" hidden="false" max="21" min="21" style="0" width="11"/>
    <col collapsed="false" customWidth="true" hidden="false" max="1" min="1" style="0" width="22"/>
  </cols>
  <sheetData>
    <row r="1">
      <c r="A1" s="2310"/>
      <c r="B1" s="2310" t="s">
        <v>1536</v>
      </c>
      <c r="C1" s="2311" t="s">
        <v>1537</v>
      </c>
      <c r="D1" s="2310" t="s">
        <v>1538</v>
      </c>
      <c r="E1" s="2312" t="s">
        <v>1539</v>
      </c>
      <c r="F1" s="2313" t="s">
        <v>1540</v>
      </c>
      <c r="G1" s="2310" t="s">
        <v>1541</v>
      </c>
      <c r="H1" s="2310" t="s">
        <v>1542</v>
      </c>
      <c r="I1" s="2314" t="s">
        <v>1543</v>
      </c>
      <c r="J1" s="2315"/>
    </row>
    <row customHeight="true" ht="32" r="2">
      <c r="A2" s="2316" t="s">
        <v>1544</v>
      </c>
      <c r="B2" s="2317" t="s">
        <v>1545</v>
      </c>
      <c r="C2" s="2318" t="s">
        <v>1546</v>
      </c>
      <c r="D2" s="2319" t="s">
        <v>1547</v>
      </c>
      <c r="E2" s="2320">
        <v>3</v>
      </c>
      <c r="F2" s="2321" t="s">
        <v>1548</v>
      </c>
      <c r="G2" s="2321"/>
      <c r="H2" s="2322">
        <f t="shared" ref="H2:H20" si="2">E2-G2</f>
      </c>
      <c r="I2" s="2323" t="s">
        <v>1549</v>
      </c>
    </row>
    <row customHeight="true" hidden="true" ht="30" r="3">
      <c r="A3" s="2316"/>
      <c r="B3" s="2317"/>
      <c r="C3" s="2324"/>
      <c r="D3" s="2325"/>
      <c r="E3" s="2326"/>
      <c r="F3" s="2327"/>
      <c r="G3" s="2327"/>
      <c r="H3" s="2328">
        <f t="shared" si="2"/>
      </c>
      <c r="I3" s="2323"/>
    </row>
    <row customHeight="true" hidden="true" ht="112" r="4">
      <c r="A4" s="2316"/>
      <c r="B4" s="2317"/>
      <c r="C4" s="2329"/>
      <c r="D4" s="2330"/>
      <c r="E4" s="2331"/>
      <c r="F4" s="2332"/>
      <c r="G4" s="2332">
        <v>3</v>
      </c>
      <c r="H4" s="2333">
        <f t="shared" si="2"/>
      </c>
      <c r="I4" s="2323"/>
    </row>
    <row customHeight="true" ht="30" r="5">
      <c r="A5" s="2316" t="s">
        <v>1550</v>
      </c>
      <c r="B5" s="2317" t="s">
        <v>1551</v>
      </c>
      <c r="C5" s="2316" t="s">
        <v>1552</v>
      </c>
      <c r="D5" s="2334" t="s">
        <v>1553</v>
      </c>
      <c r="E5" s="2335">
        <v>2</v>
      </c>
      <c r="F5" s="2336" t="s">
        <v>1554</v>
      </c>
      <c r="G5" s="2336">
        <v>2</v>
      </c>
      <c r="H5" s="2337">
        <f t="shared" si="2"/>
      </c>
      <c r="I5" s="2323"/>
    </row>
    <row customHeight="true" ht="30" r="6">
      <c r="A6" s="2316"/>
      <c r="B6" s="2317"/>
      <c r="C6" s="2316" t="s">
        <v>1555</v>
      </c>
      <c r="D6" s="2334" t="s">
        <v>1556</v>
      </c>
      <c r="E6" s="2335">
        <v>2</v>
      </c>
      <c r="F6" s="2336" t="s">
        <v>1557</v>
      </c>
      <c r="G6" s="2336">
        <v>1</v>
      </c>
      <c r="H6" s="2337">
        <f t="shared" si="2"/>
      </c>
      <c r="I6" s="2323"/>
    </row>
    <row customHeight="true" ht="30" r="7">
      <c r="A7" s="2316"/>
      <c r="B7" s="2317"/>
      <c r="C7" s="2316" t="s">
        <v>1558</v>
      </c>
      <c r="D7" s="2334" t="s">
        <v>1553</v>
      </c>
      <c r="E7" s="2335">
        <v>3</v>
      </c>
      <c r="F7" s="2336" t="s">
        <v>1559</v>
      </c>
      <c r="G7" s="2338">
        <v>3</v>
      </c>
      <c r="H7" s="2337">
        <f t="shared" si="2"/>
      </c>
      <c r="I7" s="2323"/>
    </row>
    <row customHeight="true" ht="30" r="8">
      <c r="A8" s="2316"/>
      <c r="B8" s="2317"/>
      <c r="C8" s="2316" t="s">
        <v>1560</v>
      </c>
      <c r="D8" s="2334" t="s">
        <v>1561</v>
      </c>
      <c r="E8" s="2335">
        <v>2</v>
      </c>
      <c r="F8" s="2336" t="s">
        <v>1554</v>
      </c>
      <c r="G8" s="2336">
        <v>1</v>
      </c>
      <c r="H8" s="2337">
        <f t="shared" si="2"/>
      </c>
      <c r="I8" s="2323" t="s">
        <v>1562</v>
      </c>
    </row>
    <row customHeight="true" hidden="true" ht="30" r="9">
      <c r="A9" s="2316"/>
      <c r="B9" s="2317"/>
      <c r="C9" s="2316"/>
      <c r="D9" s="2334"/>
      <c r="E9" s="2335"/>
      <c r="F9" s="2336"/>
      <c r="G9" s="2336"/>
      <c r="H9" s="2337">
        <f t="shared" si="2"/>
      </c>
      <c r="I9" s="2323"/>
    </row>
    <row customHeight="true" ht="16" r="10">
      <c r="A10" s="2339" t="s">
        <v>1563</v>
      </c>
      <c r="B10" s="2339"/>
      <c r="C10" s="2339"/>
      <c r="D10" s="2339"/>
      <c r="E10" s="2340">
        <f>SUM(E2:E9)</f>
      </c>
      <c r="F10" s="2341"/>
      <c r="G10" s="2340">
        <f>SUM(G2:G9)</f>
      </c>
      <c r="H10" s="2340">
        <f t="shared" si="2"/>
      </c>
      <c r="I10" s="2323"/>
      <c r="K10" s="2342"/>
    </row>
    <row r="11">
      <c r="A11" s="2329" t="s">
        <v>1564</v>
      </c>
      <c r="B11" s="2343" t="s">
        <v>1565</v>
      </c>
      <c r="C11" s="2329" t="s">
        <v>1566</v>
      </c>
      <c r="D11" s="2330" t="s">
        <v>1567</v>
      </c>
      <c r="E11" s="2331">
        <v>2</v>
      </c>
      <c r="F11" s="2332" t="s">
        <v>1554</v>
      </c>
      <c r="G11" s="2332">
        <v>2</v>
      </c>
      <c r="H11" s="2333">
        <f t="shared" si="2"/>
      </c>
      <c r="I11" s="2323"/>
      <c r="K11" s="2342"/>
    </row>
    <row customHeight="true" ht="81" r="12">
      <c r="A12" s="2329"/>
      <c r="B12" s="2343"/>
      <c r="C12" s="2329" t="s">
        <v>1568</v>
      </c>
      <c r="D12" s="2330"/>
      <c r="E12" s="2331">
        <v>2</v>
      </c>
      <c r="F12" s="2332" t="s">
        <v>1557</v>
      </c>
      <c r="G12" s="2332">
        <v>2</v>
      </c>
      <c r="H12" s="2333">
        <f t="shared" si="2"/>
      </c>
      <c r="I12" s="2323"/>
      <c r="K12" s="2342"/>
    </row>
    <row customHeight="true" ht="71" r="13">
      <c r="A13" s="2329"/>
      <c r="B13" s="2343"/>
      <c r="C13" s="2329" t="s">
        <v>1569</v>
      </c>
      <c r="D13" s="2330"/>
      <c r="E13" s="2331">
        <v>2</v>
      </c>
      <c r="F13" s="2332" t="s">
        <v>1554</v>
      </c>
      <c r="G13" s="2332">
        <v>1</v>
      </c>
      <c r="H13" s="2333">
        <f t="shared" si="2"/>
      </c>
      <c r="I13" s="2344"/>
      <c r="K13" s="2342"/>
    </row>
    <row customHeight="true" ht="70" r="14">
      <c r="A14" s="2329"/>
      <c r="B14" s="2343"/>
      <c r="C14" s="2329" t="s">
        <v>1570</v>
      </c>
      <c r="D14" s="2330"/>
      <c r="E14" s="2331">
        <v>2</v>
      </c>
      <c r="F14" s="2332" t="s">
        <v>1554</v>
      </c>
      <c r="G14" s="2332">
        <v>2</v>
      </c>
      <c r="H14" s="2333">
        <f t="shared" si="2"/>
      </c>
      <c r="I14" s="2344"/>
      <c r="K14" s="2342"/>
    </row>
    <row customHeight="true" ht="50" r="15">
      <c r="A15" s="2329"/>
      <c r="B15" s="2343"/>
      <c r="C15" s="2329" t="s">
        <v>1571</v>
      </c>
      <c r="D15" s="2330"/>
      <c r="E15" s="2331">
        <v>2</v>
      </c>
      <c r="F15" s="2332" t="s">
        <v>1559</v>
      </c>
      <c r="G15" s="2332">
        <v>2</v>
      </c>
      <c r="H15" s="2333">
        <f t="shared" si="2"/>
      </c>
      <c r="I15" s="2344"/>
      <c r="K15" s="2342"/>
    </row>
    <row customHeight="true" ht="50" r="16">
      <c r="A16" s="2329"/>
      <c r="B16" s="2343"/>
      <c r="C16" s="2329" t="s">
        <v>1572</v>
      </c>
      <c r="D16" s="2330"/>
      <c r="E16" s="2331">
        <v>2</v>
      </c>
      <c r="F16" s="2332" t="s">
        <v>1559</v>
      </c>
      <c r="G16" s="2332">
        <v>2</v>
      </c>
      <c r="H16" s="2333">
        <f t="shared" si="2"/>
      </c>
      <c r="I16" s="2344"/>
      <c r="K16" s="2342"/>
    </row>
    <row customHeight="true" ht="50" r="17">
      <c r="A17" s="2329"/>
      <c r="B17" s="2343"/>
      <c r="C17" s="2329" t="s">
        <v>1573</v>
      </c>
      <c r="D17" s="2330"/>
      <c r="E17" s="2331">
        <v>2</v>
      </c>
      <c r="F17" s="2332" t="s">
        <v>1557</v>
      </c>
      <c r="G17" s="2332">
        <v>2</v>
      </c>
      <c r="H17" s="2333">
        <f t="shared" si="2"/>
      </c>
      <c r="I17" s="2344"/>
      <c r="K17" s="2342"/>
    </row>
    <row customHeight="true" ht="50" r="18">
      <c r="A18" s="2329"/>
      <c r="B18" s="2343"/>
      <c r="C18" s="2329" t="s">
        <v>1574</v>
      </c>
      <c r="D18" s="2330"/>
      <c r="E18" s="2331">
        <v>2</v>
      </c>
      <c r="F18" s="2332" t="s">
        <v>1557</v>
      </c>
      <c r="G18" s="2332"/>
      <c r="H18" s="2333">
        <f t="shared" si="2"/>
      </c>
      <c r="I18" s="2344"/>
      <c r="K18" s="2342"/>
    </row>
    <row customHeight="true" ht="50" r="19">
      <c r="A19" s="2329"/>
      <c r="B19" s="2343"/>
      <c r="C19" s="2329" t="s">
        <v>1575</v>
      </c>
      <c r="D19" s="2330"/>
      <c r="E19" s="2331">
        <v>2</v>
      </c>
      <c r="F19" s="2332" t="s">
        <v>1554</v>
      </c>
      <c r="G19" s="2332">
        <v>2</v>
      </c>
      <c r="H19" s="2333">
        <f t="shared" si="2"/>
      </c>
      <c r="I19" s="2344"/>
      <c r="K19" s="2342"/>
    </row>
    <row customHeight="true" hidden="true" ht="50" r="20">
      <c r="A20" s="2329"/>
      <c r="B20" s="2343"/>
      <c r="C20" s="2329"/>
      <c r="D20" s="2330"/>
      <c r="E20" s="2331"/>
      <c r="F20" s="2332"/>
      <c r="G20" s="2332"/>
      <c r="H20" s="2333">
        <f t="shared" si="2"/>
      </c>
      <c r="I20" s="2323"/>
      <c r="K20" s="2342"/>
    </row>
    <row customHeight="true" ht="16" r="21">
      <c r="A21" s="2329"/>
      <c r="B21" s="2343"/>
      <c r="C21" s="2345" t="s">
        <v>1576</v>
      </c>
      <c r="D21" s="2345"/>
      <c r="E21" s="2346">
        <f>SUM(E11:E20)</f>
      </c>
      <c r="F21" s="2347"/>
      <c r="G21" s="2348"/>
      <c r="H21" s="2346">
        <f>SUM(H11:H20)</f>
      </c>
      <c r="I21" s="2349"/>
    </row>
    <row customHeight="true" ht="130" r="22">
      <c r="A22" s="2329" t="s">
        <v>1577</v>
      </c>
      <c r="B22" s="2343" t="s">
        <v>1565</v>
      </c>
      <c r="C22" s="2350" t="s">
        <v>1578</v>
      </c>
      <c r="D22" s="2351" t="s">
        <v>1579</v>
      </c>
      <c r="E22" s="2352">
        <v>6</v>
      </c>
      <c r="F22" s="2353" t="s">
        <v>1554</v>
      </c>
      <c r="G22" s="2353">
        <v>2</v>
      </c>
      <c r="H22" s="2354">
        <f t="shared" ref="H22:H29" si="3">E22-G22</f>
      </c>
      <c r="I22" s="2323" t="s">
        <v>1580</v>
      </c>
    </row>
    <row customHeight="true" ht="81" r="23">
      <c r="A23" s="2329"/>
      <c r="B23" s="2343"/>
      <c r="C23" s="2350"/>
      <c r="D23" s="2351"/>
      <c r="E23" s="2352">
        <v>6</v>
      </c>
      <c r="F23" s="2353" t="s">
        <v>1557</v>
      </c>
      <c r="G23" s="2353">
        <v>3</v>
      </c>
      <c r="H23" s="2354">
        <f t="shared" si="3"/>
      </c>
      <c r="I23" s="2323" t="s">
        <v>1581</v>
      </c>
    </row>
    <row customHeight="true" ht="81" r="24">
      <c r="A24" s="2329"/>
      <c r="B24" s="2343"/>
      <c r="C24" s="2350"/>
      <c r="D24" s="2351"/>
      <c r="E24" s="2352">
        <v>6</v>
      </c>
      <c r="F24" s="2353" t="s">
        <v>1559</v>
      </c>
      <c r="G24" s="2353"/>
      <c r="H24" s="2354">
        <f t="shared" si="3"/>
      </c>
      <c r="I24" s="2323"/>
    </row>
    <row customHeight="true" ht="81" r="25">
      <c r="A25" s="2329"/>
      <c r="B25" s="2343"/>
      <c r="C25" s="2355" t="s">
        <v>1578</v>
      </c>
      <c r="D25" s="2356" t="s">
        <v>1582</v>
      </c>
      <c r="E25" s="2357">
        <v>3</v>
      </c>
      <c r="F25" s="2358" t="s">
        <v>1557</v>
      </c>
      <c r="G25" s="2358">
        <v>1</v>
      </c>
      <c r="H25" s="2359">
        <f t="shared" si="3"/>
      </c>
      <c r="I25" s="2323" t="s">
        <v>1583</v>
      </c>
    </row>
    <row customHeight="true" ht="70" r="26">
      <c r="A26" s="2329"/>
      <c r="B26" s="2343"/>
      <c r="C26" s="2360" t="s">
        <v>1578</v>
      </c>
      <c r="D26" s="2361" t="s">
        <v>1584</v>
      </c>
      <c r="E26" s="2362">
        <v>3</v>
      </c>
      <c r="F26" s="2363" t="s">
        <v>1559</v>
      </c>
      <c r="G26" s="2363"/>
      <c r="H26" s="2364">
        <f t="shared" si="3"/>
      </c>
      <c r="I26" s="2323"/>
      <c r="J26" s="2323"/>
    </row>
    <row customHeight="true" ht="77" r="27">
      <c r="A27" s="2329" t="s">
        <v>1585</v>
      </c>
      <c r="B27" s="2343"/>
      <c r="C27" s="2365" t="s">
        <v>1586</v>
      </c>
      <c r="D27" s="2366" t="s">
        <v>1587</v>
      </c>
      <c r="E27" s="2335">
        <v>4</v>
      </c>
      <c r="F27" s="2336" t="s">
        <v>1559</v>
      </c>
      <c r="G27" s="2336"/>
      <c r="H27" s="2337">
        <f t="shared" si="3"/>
      </c>
      <c r="I27" s="2323"/>
    </row>
    <row customHeight="true" ht="75" r="28">
      <c r="A28" s="2329"/>
      <c r="B28" s="2367"/>
      <c r="C28" s="2368" t="s">
        <v>1588</v>
      </c>
      <c r="D28" s="2369" t="s">
        <v>1589</v>
      </c>
      <c r="E28" s="2331">
        <v>5</v>
      </c>
      <c r="F28" s="2332" t="s">
        <v>1557</v>
      </c>
      <c r="G28" s="2332">
        <v>1</v>
      </c>
      <c r="H28" s="2331">
        <f t="shared" si="3"/>
      </c>
      <c r="I28" s="2323" t="s">
        <v>1590</v>
      </c>
    </row>
    <row customHeight="true" hidden="true" ht="75" r="29">
      <c r="A29" s="2329"/>
      <c r="B29" s="2343"/>
      <c r="C29" s="2370"/>
      <c r="D29" s="2366"/>
      <c r="E29" s="2335"/>
      <c r="F29" s="2336"/>
      <c r="G29" s="2336"/>
      <c r="H29" s="2335">
        <f t="shared" si="3"/>
      </c>
      <c r="I29" s="2323"/>
    </row>
    <row customHeight="true" hidden="true" ht="30" r="30">
      <c r="A30" s="2329"/>
      <c r="B30" s="2343"/>
      <c r="C30" s="2355"/>
      <c r="D30" s="2355"/>
      <c r="E30" s="2357"/>
      <c r="F30" s="2358"/>
      <c r="G30" s="2358"/>
      <c r="H30" s="2359"/>
      <c r="I30" s="2349"/>
    </row>
    <row customHeight="true" hidden="true" ht="30" r="31">
      <c r="A31" s="2329"/>
      <c r="B31" s="2343"/>
      <c r="C31" s="2371"/>
      <c r="D31" s="2371"/>
      <c r="E31" s="2372"/>
      <c r="F31" s="2373"/>
      <c r="G31" s="2373"/>
      <c r="H31" s="2374"/>
      <c r="I31" s="2349"/>
    </row>
    <row customHeight="true" hidden="true" ht="26" r="32">
      <c r="A32" s="2329"/>
      <c r="B32" s="2343"/>
      <c r="C32" s="2371"/>
      <c r="D32" s="2371"/>
      <c r="E32" s="2372"/>
      <c r="F32" s="2373"/>
      <c r="G32" s="2373"/>
      <c r="H32" s="2374"/>
      <c r="I32" s="2349"/>
    </row>
    <row customHeight="true" ht="16" r="33">
      <c r="A33" s="2329"/>
      <c r="B33" s="2343"/>
      <c r="C33" s="2345" t="s">
        <v>1576</v>
      </c>
      <c r="D33" s="2345"/>
      <c r="E33" s="2346">
        <f>SUM(E22:E29)</f>
      </c>
      <c r="F33" s="2347"/>
      <c r="G33" s="2348"/>
      <c r="H33" s="2346">
        <f>SUM(H22:H29)</f>
      </c>
      <c r="I33" s="2349"/>
    </row>
    <row customHeight="true" hidden="true" ht="76" r="34">
      <c r="A34" s="2329"/>
      <c r="B34" s="2317"/>
      <c r="C34" s="2375"/>
      <c r="D34" s="2376"/>
      <c r="E34" s="2377"/>
      <c r="F34" s="2378" t="s">
        <v>1554</v>
      </c>
      <c r="G34" s="2378"/>
      <c r="H34" s="2379">
        <f t="shared" ref="H34:H38" si="4">E34-G34</f>
      </c>
      <c r="I34" s="2380"/>
      <c r="J34" s="2349"/>
    </row>
    <row customHeight="true" hidden="true" ht="84" r="35">
      <c r="A35" s="2329"/>
      <c r="B35" s="2317"/>
      <c r="C35" s="2316"/>
      <c r="D35" s="2366"/>
      <c r="E35" s="2335"/>
      <c r="F35" s="2336" t="s">
        <v>1554</v>
      </c>
      <c r="G35" s="2336"/>
      <c r="H35" s="2381">
        <f t="shared" si="4"/>
      </c>
      <c r="I35" s="2380"/>
      <c r="J35" s="2349"/>
    </row>
    <row customHeight="true" hidden="true" ht="56" r="36">
      <c r="A36" s="2329"/>
      <c r="B36" s="2317"/>
      <c r="C36" s="2355"/>
      <c r="D36" s="2382"/>
      <c r="E36" s="2357"/>
      <c r="F36" s="2358" t="s">
        <v>1554</v>
      </c>
      <c r="G36" s="2358"/>
      <c r="H36" s="2383">
        <f t="shared" si="4"/>
      </c>
      <c r="I36" s="2323"/>
      <c r="J36" s="2323"/>
    </row>
    <row customHeight="true" hidden="true" ht="53" r="37">
      <c r="A37" s="2329"/>
      <c r="B37" s="2317"/>
      <c r="C37" s="2384"/>
      <c r="D37" s="2385"/>
      <c r="E37" s="2386"/>
      <c r="F37" s="2387" t="s">
        <v>1554</v>
      </c>
      <c r="G37" s="2387"/>
      <c r="H37" s="2388">
        <f t="shared" si="4"/>
      </c>
      <c r="I37" s="2323"/>
      <c r="J37" s="2349"/>
    </row>
    <row customHeight="true" hidden="true" ht="57" r="38">
      <c r="A38" s="2329"/>
      <c r="B38" s="2317"/>
      <c r="C38" s="2371"/>
      <c r="D38" s="2389"/>
      <c r="E38" s="2372"/>
      <c r="F38" s="2373" t="s">
        <v>1554</v>
      </c>
      <c r="G38" s="2373"/>
      <c r="H38" s="2390">
        <f t="shared" si="4"/>
      </c>
      <c r="I38" s="2323"/>
      <c r="J38" s="2323" t="s">
        <v>1591</v>
      </c>
    </row>
    <row customHeight="true" hidden="true" ht="57" r="39">
      <c r="A39" s="2329"/>
      <c r="B39" s="2317"/>
      <c r="C39" s="2371"/>
      <c r="D39" s="2389"/>
      <c r="E39" s="2372"/>
      <c r="F39" s="2373" t="s">
        <v>1554</v>
      </c>
      <c r="G39" s="2373"/>
      <c r="H39" s="2390"/>
      <c r="I39" s="2323"/>
      <c r="J39" s="2323"/>
    </row>
    <row customHeight="true" hidden="true" ht="102" r="40">
      <c r="A40" s="2329"/>
      <c r="B40" s="2317" t="s">
        <v>1592</v>
      </c>
      <c r="C40" s="2350"/>
      <c r="D40" s="2391"/>
      <c r="E40" s="2352"/>
      <c r="F40" s="2353" t="s">
        <v>1593</v>
      </c>
      <c r="G40" s="2353"/>
      <c r="H40" s="2392">
        <f t="shared" ref="H40:H50" si="5">E40-G40</f>
      </c>
      <c r="I40" s="2323"/>
      <c r="J40" s="2323"/>
    </row>
    <row customHeight="true" hidden="true" ht="55" r="41">
      <c r="A41" s="2329"/>
      <c r="B41" s="2317"/>
      <c r="C41" s="2318"/>
      <c r="D41" s="2393"/>
      <c r="E41" s="2320"/>
      <c r="F41" s="2321" t="s">
        <v>1593</v>
      </c>
      <c r="G41" s="2321"/>
      <c r="H41" s="2394">
        <f t="shared" si="5"/>
      </c>
      <c r="I41" s="2395"/>
      <c r="J41" s="2323"/>
    </row>
    <row customHeight="true" hidden="true" ht="49" r="42">
      <c r="A42" s="2329"/>
      <c r="B42" s="2317"/>
      <c r="C42" s="2324"/>
      <c r="D42" s="2396"/>
      <c r="E42" s="2326"/>
      <c r="F42" s="2327" t="s">
        <v>1559</v>
      </c>
      <c r="G42" s="2327"/>
      <c r="H42" s="2397">
        <f t="shared" si="5"/>
      </c>
      <c r="I42" s="2323"/>
      <c r="J42" s="2323"/>
    </row>
    <row customHeight="true" hidden="true" ht="57" r="43">
      <c r="A43" s="2329"/>
      <c r="B43" s="2317"/>
      <c r="C43" s="2329"/>
      <c r="D43" s="2330"/>
      <c r="E43" s="2398"/>
      <c r="F43" s="2399" t="s">
        <v>1559</v>
      </c>
      <c r="G43" s="2399"/>
      <c r="H43" s="2398">
        <f t="shared" si="5"/>
      </c>
      <c r="I43" s="2323"/>
      <c r="J43" s="2349"/>
    </row>
    <row customHeight="true" hidden="true" ht="16" r="44">
      <c r="A44" s="2329"/>
      <c r="B44" s="2317"/>
      <c r="C44" s="2329"/>
      <c r="D44" s="2330"/>
      <c r="E44" s="2400"/>
      <c r="F44" s="2401" t="s">
        <v>1594</v>
      </c>
      <c r="G44" s="2401"/>
      <c r="H44" s="2381">
        <f t="shared" si="5"/>
      </c>
      <c r="I44" s="2323"/>
      <c r="J44" s="2349"/>
    </row>
    <row customHeight="true" hidden="true" ht="16" r="45">
      <c r="A45" s="2329"/>
      <c r="B45" s="2317"/>
      <c r="C45" s="2402"/>
      <c r="D45" s="2403"/>
      <c r="E45" s="2404"/>
      <c r="F45" s="2405"/>
      <c r="G45" s="2405"/>
      <c r="H45" s="2383">
        <f t="shared" si="5"/>
      </c>
      <c r="I45" s="2349"/>
      <c r="J45" s="2349"/>
    </row>
    <row customHeight="true" hidden="true" ht="31" r="46">
      <c r="A46" s="2329"/>
      <c r="B46" s="2317"/>
      <c r="C46" s="2406"/>
      <c r="D46" s="2407"/>
      <c r="E46" s="2408"/>
      <c r="F46" s="2409"/>
      <c r="G46" s="2409"/>
      <c r="H46" s="2388">
        <f t="shared" si="5"/>
      </c>
      <c r="I46" s="2323"/>
      <c r="J46" s="2349"/>
    </row>
    <row customHeight="true" hidden="true" ht="31" r="47">
      <c r="A47" s="2329"/>
      <c r="B47" s="2317"/>
      <c r="C47" s="2410"/>
      <c r="D47" s="2411"/>
      <c r="E47" s="2412"/>
      <c r="F47" s="2413"/>
      <c r="G47" s="2413"/>
      <c r="H47" s="2390">
        <f t="shared" si="5"/>
      </c>
      <c r="I47" s="2323"/>
      <c r="J47" s="2349"/>
    </row>
    <row customHeight="true" hidden="true" ht="31" r="48">
      <c r="A48" s="2329"/>
      <c r="B48" s="2317"/>
      <c r="C48" s="2414"/>
      <c r="D48" s="2415"/>
      <c r="E48" s="2416"/>
      <c r="F48" s="2417"/>
      <c r="G48" s="2417"/>
      <c r="H48" s="2392">
        <f t="shared" si="5"/>
      </c>
      <c r="I48" s="2323"/>
      <c r="J48" s="2349"/>
    </row>
    <row customHeight="true" hidden="true" ht="56" r="49">
      <c r="A49" s="2329"/>
      <c r="B49" s="2317"/>
      <c r="C49" s="2418"/>
      <c r="D49" s="2419"/>
      <c r="E49" s="2420"/>
      <c r="F49" s="2421"/>
      <c r="G49" s="2421"/>
      <c r="H49" s="2397">
        <f t="shared" si="5"/>
      </c>
      <c r="I49" s="2323"/>
      <c r="J49" s="2349"/>
    </row>
    <row customHeight="true" hidden="true" ht="31" r="50">
      <c r="A50" s="2329"/>
      <c r="B50" s="2317"/>
      <c r="C50" s="2422"/>
      <c r="D50" s="2423"/>
      <c r="E50" s="2398"/>
      <c r="F50" s="2399"/>
      <c r="G50" s="2399"/>
      <c r="H50" s="2424">
        <f t="shared" si="5"/>
      </c>
      <c r="I50" s="2349"/>
      <c r="J50" s="2349"/>
    </row>
    <row customHeight="true" hidden="true" ht="15" r="51">
      <c r="A51" s="2329"/>
      <c r="B51" s="2317"/>
      <c r="C51" s="2425" t="s">
        <v>1576</v>
      </c>
      <c r="D51" s="2425"/>
      <c r="E51" s="2426">
        <f>SUM(E34:E50)</f>
      </c>
      <c r="F51" s="2427"/>
      <c r="G51" s="2428"/>
      <c r="H51" s="2426">
        <f>SUM(H34:H43)</f>
      </c>
      <c r="I51" s="2349"/>
      <c r="J51" s="2349"/>
    </row>
    <row customHeight="true" hidden="true" ht="78" r="52">
      <c r="A52" s="2329"/>
      <c r="B52" s="2343"/>
      <c r="C52" s="2360"/>
      <c r="D52" s="2361"/>
      <c r="E52" s="2362"/>
      <c r="F52" s="2363"/>
      <c r="G52" s="2363"/>
      <c r="H52" s="2364">
        <f t="shared" ref="H52:H56" si="6">E52-G52</f>
      </c>
      <c r="I52" s="2323"/>
    </row>
    <row customHeight="true" hidden="true" ht="79" r="53">
      <c r="A53" s="2329"/>
      <c r="B53" s="2343"/>
      <c r="C53" s="2429"/>
      <c r="D53" s="2325"/>
      <c r="E53" s="2420"/>
      <c r="F53" s="2421"/>
      <c r="G53" s="2421"/>
      <c r="H53" s="2397">
        <f t="shared" si="6"/>
      </c>
      <c r="I53" s="2323"/>
    </row>
    <row customHeight="true" hidden="true" ht="99" r="54">
      <c r="A54" s="2329"/>
      <c r="B54" s="2343"/>
      <c r="C54" s="2430"/>
      <c r="D54" s="2330"/>
      <c r="E54" s="2398"/>
      <c r="F54" s="2399"/>
      <c r="G54" s="2399"/>
      <c r="H54" s="2424">
        <f t="shared" si="6"/>
      </c>
      <c r="I54" s="2323"/>
    </row>
    <row customHeight="true" hidden="true" ht="60" r="55">
      <c r="A55" s="2329"/>
      <c r="B55" s="2343"/>
      <c r="C55" s="2431"/>
      <c r="D55" s="2432"/>
      <c r="E55" s="2400"/>
      <c r="F55" s="2401"/>
      <c r="G55" s="2401"/>
      <c r="H55" s="2381">
        <f t="shared" si="6"/>
      </c>
      <c r="I55" s="2323"/>
    </row>
    <row customHeight="true" hidden="true" ht="54" r="56">
      <c r="A56" s="2329"/>
      <c r="B56" s="2343"/>
      <c r="C56" s="2402"/>
      <c r="D56" s="2403"/>
      <c r="E56" s="2404"/>
      <c r="F56" s="2405"/>
      <c r="G56" s="2405"/>
      <c r="H56" s="2383">
        <f t="shared" si="6"/>
      </c>
      <c r="I56" s="2323" t="s">
        <v>1595</v>
      </c>
    </row>
    <row customHeight="true" hidden="true" ht="13" r="57">
      <c r="A57" s="2329"/>
      <c r="B57" s="2343"/>
      <c r="C57" s="2425" t="s">
        <v>1576</v>
      </c>
      <c r="D57" s="2425"/>
      <c r="E57" s="2426">
        <f>SUM(E52:E56)</f>
      </c>
      <c r="F57" s="2427"/>
      <c r="G57" s="2428"/>
      <c r="H57" s="2426">
        <f>SUM(H52:H56)</f>
      </c>
      <c r="I57" s="2349"/>
    </row>
    <row customHeight="true" hidden="true" ht="16" r="58">
      <c r="A58" s="2339" t="s">
        <v>1563</v>
      </c>
      <c r="B58" s="2339"/>
      <c r="C58" s="2339"/>
      <c r="D58" s="2339"/>
      <c r="E58" s="2340">
        <f>SUM(E21,E33,E51,E57)</f>
      </c>
      <c r="F58" s="2341"/>
      <c r="G58" s="2433"/>
      <c r="H58" s="2340">
        <f>SUM(H21,H33,H51,H57)</f>
      </c>
      <c r="I58" s="2349"/>
      <c r="J58" s="2323"/>
    </row>
    <row customHeight="true" hidden="true" ht="185" r="59">
      <c r="A59" s="2350"/>
      <c r="B59" s="2343"/>
      <c r="C59" s="2396"/>
      <c r="D59" s="2382"/>
      <c r="E59" s="2357"/>
      <c r="F59" s="2358"/>
      <c r="G59" s="2358"/>
      <c r="H59" s="2383">
        <f>E59-G59</f>
      </c>
      <c r="I59" s="2344" t="s">
        <v>1596</v>
      </c>
      <c r="J59" s="2380"/>
    </row>
    <row customHeight="true" hidden="true" ht="43" r="60">
      <c r="A60" s="2350"/>
      <c r="B60" s="2343"/>
      <c r="C60" s="2324"/>
      <c r="D60" s="2382"/>
      <c r="E60" s="2357"/>
      <c r="F60" s="2358"/>
      <c r="G60" s="2358"/>
      <c r="H60" s="2383"/>
      <c r="I60" s="2344"/>
    </row>
    <row customHeight="true" hidden="true" ht="41" r="61">
      <c r="A61" s="2350"/>
      <c r="B61" s="2343"/>
      <c r="C61" s="2324"/>
      <c r="D61" s="2382"/>
      <c r="E61" s="2357"/>
      <c r="F61" s="2405"/>
      <c r="G61" s="2405"/>
      <c r="H61" s="2383">
        <f t="shared" ref="H61:H64" si="7">E61-G61</f>
      </c>
      <c r="I61" s="2344"/>
    </row>
    <row customHeight="true" hidden="true" ht="41" r="62">
      <c r="A62" s="2350"/>
      <c r="B62" s="2343"/>
      <c r="C62" s="2324"/>
      <c r="D62" s="2382"/>
      <c r="E62" s="2357"/>
      <c r="F62" s="2417"/>
      <c r="G62" s="2417"/>
      <c r="H62" s="2392">
        <f t="shared" si="7"/>
      </c>
      <c r="I62" s="2344"/>
      <c r="J62" s="2323"/>
    </row>
    <row customHeight="true" hidden="true" ht="41" r="63">
      <c r="A63" s="2350"/>
      <c r="B63" s="2343"/>
      <c r="C63" s="2324"/>
      <c r="D63" s="2382"/>
      <c r="E63" s="2357"/>
      <c r="F63" s="2434"/>
      <c r="G63" s="2434"/>
      <c r="H63" s="2379">
        <f t="shared" si="7"/>
      </c>
      <c r="I63" s="2344"/>
      <c r="J63" s="2323"/>
    </row>
    <row customHeight="true" hidden="true" ht="41" r="64">
      <c r="A64" s="2350"/>
      <c r="B64" s="2343"/>
      <c r="C64" s="2324"/>
      <c r="D64" s="2382"/>
      <c r="E64" s="2357"/>
      <c r="F64" s="2421"/>
      <c r="G64" s="2421"/>
      <c r="H64" s="2397">
        <f t="shared" si="7"/>
      </c>
      <c r="I64" s="2344"/>
      <c r="J64" s="2323"/>
    </row>
    <row customHeight="true" hidden="true" ht="16" r="65">
      <c r="A65" s="2350"/>
      <c r="B65" s="2343"/>
      <c r="C65" s="2425" t="s">
        <v>1576</v>
      </c>
      <c r="D65" s="2425"/>
      <c r="E65" s="2426">
        <f>SUM(E59:E64)</f>
      </c>
      <c r="F65" s="2427"/>
      <c r="G65" s="2428"/>
      <c r="H65" s="2426">
        <f>SUM(H59:H64)</f>
      </c>
    </row>
    <row customHeight="true" hidden="true" ht="16" r="66">
      <c r="A66" s="2339" t="s">
        <v>1563</v>
      </c>
      <c r="B66" s="2339"/>
      <c r="C66" s="2339"/>
      <c r="D66" s="2339"/>
      <c r="E66" s="2340">
        <f>SUM(E65)</f>
      </c>
      <c r="F66" s="2341"/>
      <c r="G66" s="2433"/>
      <c r="H66" s="2340">
        <f>SUM(H65)</f>
      </c>
      <c r="I66" s="2349"/>
    </row>
    <row customHeight="true" ht="100" r="67">
      <c r="A67" s="2371" t="s">
        <v>1597</v>
      </c>
      <c r="B67" s="2343" t="s">
        <v>1592</v>
      </c>
      <c r="C67" s="2371" t="s">
        <v>1598</v>
      </c>
      <c r="D67" s="2389" t="s">
        <v>1599</v>
      </c>
      <c r="E67" s="2372"/>
      <c r="F67" s="2373"/>
      <c r="G67" s="2373"/>
      <c r="H67" s="2390">
        <f>E67-G67</f>
      </c>
      <c r="I67" s="2349"/>
      <c r="J67" s="2349"/>
    </row>
    <row customHeight="true" ht="17" r="68">
      <c r="A68" s="2339" t="s">
        <v>1563</v>
      </c>
      <c r="B68" s="2339"/>
      <c r="C68" s="2339"/>
      <c r="D68" s="2339"/>
      <c r="E68" s="2340">
        <f>SUM(E67)</f>
      </c>
      <c r="F68" s="2341"/>
      <c r="G68" s="2433"/>
      <c r="H68" s="2340">
        <f>SUM(H67)</f>
      </c>
      <c r="I68" s="2349"/>
      <c r="J68" s="2349"/>
    </row>
    <row customHeight="true" ht="16" r="69">
      <c r="A69" s="2340" t="s">
        <v>1576</v>
      </c>
      <c r="B69" s="2340"/>
      <c r="C69" s="2340"/>
      <c r="D69" s="2340"/>
      <c r="E69" s="2340">
        <f>SUM(E10,E58,E66,E68)</f>
      </c>
      <c r="F69" s="2341"/>
      <c r="G69" s="2435"/>
      <c r="H69" s="2340">
        <f>SUM(H10,H58,H66,H68)</f>
      </c>
      <c r="I69" s="2323"/>
      <c r="J69" s="2349"/>
    </row>
    <row customHeight="true" ht="16" r="70">
      <c r="B70" s="2349"/>
      <c r="C70" s="2349"/>
      <c r="D70" s="2349"/>
      <c r="E70" s="2349"/>
      <c r="F70" s="2323"/>
      <c r="G70" s="2323"/>
      <c r="H70" s="2323"/>
      <c r="I70" s="2349"/>
      <c r="J70" s="2349"/>
    </row>
    <row customHeight="true" ht="16" r="71">
      <c r="B71" s="2349"/>
      <c r="C71" s="2349"/>
      <c r="D71" s="2349"/>
      <c r="E71" s="2349"/>
      <c r="F71" s="2323"/>
      <c r="G71" s="2323"/>
      <c r="H71" s="2323"/>
      <c r="I71" s="2349"/>
      <c r="J71" s="2323"/>
      <c r="K71" s="2323"/>
      <c r="L71" s="2323"/>
      <c r="M71" s="2323"/>
      <c r="N71" s="2323"/>
      <c r="O71" s="2323"/>
      <c r="P71" s="2323"/>
    </row>
    <row r="72">
      <c r="D72" s="2349"/>
      <c r="E72" s="2348" t="s">
        <v>1600</v>
      </c>
      <c r="F72" s="2436" t="s">
        <v>1539</v>
      </c>
      <c r="G72" s="2436" t="s">
        <v>1601</v>
      </c>
      <c r="H72" s="2436" t="s">
        <v>1542</v>
      </c>
      <c r="I72" s="2323"/>
      <c r="J72" s="2323"/>
      <c r="M72" s="2323"/>
    </row>
    <row r="73">
      <c r="D73" s="2349"/>
      <c r="E73" s="2437" t="s">
        <v>1548</v>
      </c>
      <c r="F73" s="2438">
        <f>SUMIF(F2:F69,"Huyền",E2:E69)</f>
      </c>
      <c r="G73" s="2438">
        <f>SUMIF(F2:F69,"Huyền",G2:G69)</f>
      </c>
      <c r="H73" s="2438">
        <f t="shared" ref="H73:H80" si="0">F73-G73</f>
      </c>
      <c r="I73" s="2323"/>
      <c r="J73" s="2323"/>
    </row>
    <row r="74">
      <c r="D74" s="2323"/>
      <c r="E74" s="2436" t="s">
        <v>1554</v>
      </c>
      <c r="F74" s="2348">
        <f>SUMIF(F2:F69,"Hoa",E2:E69)</f>
      </c>
      <c r="G74" s="2438">
        <f>SUMIF(F2:F69,"Hoa",G2:G69)</f>
      </c>
      <c r="H74" s="2348">
        <f t="shared" si="0"/>
      </c>
      <c r="I74" s="2323"/>
      <c r="J74" s="2323"/>
      <c r="K74" s="2323" t="s">
        <v>1602</v>
      </c>
      <c r="L74" s="2323" t="s">
        <v>1603</v>
      </c>
      <c r="M74" s="2323" t="s">
        <v>1604</v>
      </c>
      <c r="N74" s="2323" t="s">
        <v>1605</v>
      </c>
      <c r="O74" s="2323" t="s">
        <v>1606</v>
      </c>
      <c r="P74" s="2323" t="s">
        <v>1607</v>
      </c>
      <c r="Q74" s="2323" t="s">
        <v>1554</v>
      </c>
      <c r="R74" s="2323" t="s">
        <v>1559</v>
      </c>
      <c r="S74" s="2323" t="s">
        <v>1608</v>
      </c>
      <c r="T74" s="2323" t="s">
        <v>1609</v>
      </c>
      <c r="U74" s="2323"/>
      <c r="V74" s="2323"/>
    </row>
    <row r="75">
      <c r="D75" s="2323"/>
      <c r="E75" s="2348" t="s">
        <v>1557</v>
      </c>
      <c r="F75" s="2428">
        <f>SUMIF(F2:F69,"Thúy",E2:E69)</f>
      </c>
      <c r="G75" s="2438">
        <f>SUMIF(F2:F69,"Thúy",G2:G69)</f>
      </c>
      <c r="H75" s="2348">
        <f t="shared" si="0"/>
      </c>
      <c r="I75" s="2323"/>
      <c r="J75" s="2323" t="s">
        <v>1610</v>
      </c>
      <c r="K75" s="2323">
        <v>10</v>
      </c>
      <c r="L75" s="2323">
        <v>25</v>
      </c>
      <c r="M75" s="2323">
        <v>5</v>
      </c>
      <c r="N75" s="2323"/>
      <c r="O75" s="2323">
        <v>10</v>
      </c>
      <c r="P75" s="2323"/>
      <c r="S75" s="2323"/>
      <c r="T75">
        <f t="shared" ref="T75:T80" si="1">SUM(K75:S75)</f>
      </c>
    </row>
    <row r="76">
      <c r="D76" s="2323"/>
      <c r="E76" s="2436" t="s">
        <v>1593</v>
      </c>
      <c r="F76" s="2439">
        <f>SUMIF(F2:F69,"Ngân",E2:E69)</f>
      </c>
      <c r="G76" s="2438">
        <f>SUMIF(F2:F69,"Ngân",G2:G69)</f>
      </c>
      <c r="H76" s="2440">
        <f t="shared" si="0"/>
      </c>
      <c r="I76" s="2323"/>
      <c r="J76" s="2323" t="s">
        <v>1611</v>
      </c>
      <c r="L76" s="2323"/>
      <c r="O76" s="2323">
        <v>15</v>
      </c>
      <c r="P76" s="2323"/>
      <c r="S76" s="2323">
        <v>25</v>
      </c>
      <c r="T76">
        <f t="shared" si="1"/>
      </c>
    </row>
    <row customHeight="true" ht="16" r="77">
      <c r="D77" s="2349"/>
      <c r="E77" s="2441" t="s">
        <v>1594</v>
      </c>
      <c r="F77" s="2442">
        <f>SUMIF(F2:F69,"Bích",E2:E69)</f>
      </c>
      <c r="G77" s="2438">
        <f>SUMIF(F2:F69,"Bích",G2:G69)</f>
      </c>
      <c r="H77" s="2443">
        <f t="shared" si="0"/>
      </c>
      <c r="I77" s="2323"/>
      <c r="J77" s="2323" t="s">
        <v>1612</v>
      </c>
      <c r="M77" s="2323">
        <v>20</v>
      </c>
      <c r="P77" s="2323"/>
      <c r="Q77" s="2323"/>
      <c r="T77">
        <f t="shared" si="1"/>
      </c>
    </row>
    <row customHeight="true" ht="16" r="78">
      <c r="D78" s="2349"/>
      <c r="E78" s="2444" t="s">
        <v>1559</v>
      </c>
      <c r="F78" s="2445">
        <f>SUMIF(F3:F69,"Phương",E3:E69)</f>
      </c>
      <c r="G78" s="2438">
        <f>SUMIF(F2:F69,"Phương",G2:G69)</f>
      </c>
      <c r="H78" s="2446">
        <f t="shared" si="0"/>
      </c>
      <c r="I78" s="2323"/>
      <c r="J78" s="2323" t="s">
        <v>1613</v>
      </c>
      <c r="K78" s="2323">
        <v>15</v>
      </c>
      <c r="L78" s="2323"/>
      <c r="T78">
        <f t="shared" si="1"/>
      </c>
    </row>
    <row r="79">
      <c r="D79" s="2349"/>
      <c r="E79" s="2444" t="s">
        <v>1606</v>
      </c>
      <c r="F79" s="2445">
        <f>SUMIF(F4:F70,"Mai",E4:E70)</f>
      </c>
      <c r="G79" s="2438">
        <f>SUMIF(F2:F69,"Mai",G2:G69)</f>
      </c>
      <c r="H79" s="2446">
        <f t="shared" si="0"/>
      </c>
      <c r="I79" s="2323"/>
      <c r="J79" s="2323" t="s">
        <v>1614</v>
      </c>
      <c r="M79" s="2323"/>
      <c r="O79" s="2323"/>
      <c r="P79" s="2323">
        <v>20</v>
      </c>
      <c r="Q79" s="2323">
        <v>20</v>
      </c>
      <c r="R79" s="2323">
        <v>20</v>
      </c>
      <c r="S79" s="2323"/>
      <c r="T79">
        <f t="shared" si="1"/>
      </c>
    </row>
    <row r="80">
      <c r="D80" s="2323"/>
      <c r="E80" s="2447" t="s">
        <v>1576</v>
      </c>
      <c r="F80" s="2448">
        <f>SUM(F73:F79)</f>
      </c>
      <c r="G80" s="2438">
        <f>SUM(G73:G79)</f>
      </c>
      <c r="H80" s="2448">
        <f t="shared" si="0"/>
      </c>
      <c r="I80" s="2323"/>
      <c r="J80" s="2323" t="s">
        <v>1563</v>
      </c>
      <c r="K80">
        <f>SUM(K75:K79)</f>
      </c>
      <c r="L80">
        <f>SUM(L75:L79)</f>
      </c>
      <c r="M80">
        <f>SUM(M75:M79)</f>
      </c>
      <c r="N80">
        <f>SUM(N75:N79)</f>
      </c>
      <c r="O80">
        <f>SUM(O75:O79)</f>
      </c>
      <c r="P80">
        <f>SUM(P75:P79)</f>
      </c>
      <c r="Q80">
        <f>SUM(Q75:Q79)</f>
      </c>
      <c r="R80">
        <f>SUM(R75:R79)</f>
      </c>
      <c r="S80">
        <f>SUM(S75:S79)</f>
      </c>
      <c r="T80">
        <f t="shared" si="1"/>
      </c>
    </row>
    <row r="81">
      <c r="F81" s="2349"/>
      <c r="G81" s="2349"/>
      <c r="H81" s="2349"/>
      <c r="I81" s="2323"/>
      <c r="L81" s="2323"/>
      <c r="N81" s="2323"/>
    </row>
    <row r="82">
      <c r="J82" s="2323"/>
      <c r="K82" s="2323"/>
      <c r="L82" s="2323"/>
      <c r="M82" s="2323"/>
      <c r="N82" s="2323"/>
      <c r="O82" s="2323"/>
      <c r="P82" s="2323"/>
      <c r="Q82" s="2323"/>
      <c r="R82" s="2323"/>
      <c r="S82" s="2323"/>
      <c r="T82" s="2323"/>
    </row>
    <row r="83">
      <c r="J83" s="2323"/>
      <c r="K83" s="2323"/>
      <c r="L83" s="2323"/>
      <c r="M83" s="2323"/>
      <c r="N83" s="2323"/>
      <c r="O83" s="2323"/>
      <c r="P83" s="2323"/>
    </row>
    <row r="84">
      <c r="J84" s="2323"/>
      <c r="L84" s="2323"/>
      <c r="N84" s="2323"/>
      <c r="O84" s="2323"/>
      <c r="P84" s="2323"/>
      <c r="S84" s="2323"/>
    </row>
    <row r="85">
      <c r="J85" s="2323"/>
      <c r="M85" s="2323"/>
      <c r="Q85" s="2323"/>
    </row>
    <row r="86">
      <c r="J86" s="2323"/>
      <c r="K86" s="2323"/>
      <c r="L86" s="2323"/>
    </row>
    <row r="87">
      <c r="J87" s="2323"/>
      <c r="M87" s="2323"/>
      <c r="O87" s="2323"/>
      <c r="P87" s="2323"/>
      <c r="Q87" s="2323"/>
      <c r="R87" s="2323"/>
      <c r="S87" s="2323"/>
    </row>
    <row r="88">
      <c r="J88" s="2323"/>
    </row>
  </sheetData>
  <mergeCells>
    <mergeCell ref="A2:A4"/>
    <mergeCell ref="B2:B4"/>
    <mergeCell ref="B5:B8"/>
    <mergeCell ref="A10:D10"/>
    <mergeCell ref="C21:D21"/>
    <mergeCell ref="A5:A9"/>
    <mergeCell ref="D11:D20"/>
    <mergeCell ref="B22:B28"/>
    <mergeCell ref="A27:A28"/>
    <mergeCell ref="A22:A26"/>
    <mergeCell ref="I59:I64"/>
    <mergeCell ref="A69:D69"/>
    <mergeCell ref="A68:D68"/>
    <mergeCell ref="A66:D66"/>
    <mergeCell ref="C65:D65"/>
    <mergeCell ref="C51:D51"/>
    <mergeCell ref="C57:D57"/>
    <mergeCell ref="A58:D58"/>
    <mergeCell ref="B40:B41"/>
    <mergeCell ref="C33:D33"/>
    <mergeCell ref="D22:D24"/>
    <mergeCell ref="C22:C24"/>
    <mergeCell ref="A11:A19"/>
    <mergeCell ref="B11:B20"/>
  </mergeCells>
  <picture r:id="rId1"/>
</worksheet>
</file>

<file path=xl/worksheets/sheet2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5" min="15" style="0" width="7"/>
    <col collapsed="false" customWidth="true" hidden="false" max="22" min="22" style="0" width="11"/>
    <col collapsed="false" customWidth="true" hidden="false" max="3" min="3" style="0" width="22"/>
    <col collapsed="false" customWidth="true" hidden="false" max="7" min="7" style="0" width="11"/>
    <col collapsed="false" customWidth="true" hidden="false" max="11" min="11" style="0" width="8"/>
    <col collapsed="false" customWidth="true" hidden="false" max="16" min="16" style="0" width="6"/>
    <col collapsed="false" customWidth="true" hidden="false" max="19" min="19" style="0" width="10"/>
    <col collapsed="false" customWidth="true" hidden="false" max="4" min="4" style="0" width="29"/>
    <col collapsed="false" customWidth="true" hidden="false" max="8" min="8" style="0" width="11"/>
    <col collapsed="false" customWidth="true" hidden="false" max="12" min="12" style="0" width="7"/>
    <col collapsed="false" customWidth="true" hidden="false" max="13" min="13" style="0" width="7"/>
    <col collapsed="false" customWidth="true" hidden="false" max="1" min="1" style="0" width="22"/>
    <col collapsed="false" customWidth="true" hidden="false" max="5" min="5" style="0" width="11"/>
    <col collapsed="false" customWidth="true" hidden="false" max="9" min="9" style="0" width="18"/>
    <col collapsed="false" customWidth="true" hidden="false" max="14" min="14" style="0" width="7"/>
    <col collapsed="false" customWidth="true" hidden="false" max="17" min="17" style="0" width="6"/>
    <col collapsed="false" customWidth="true" hidden="false" max="18" min="18" style="0" width="7"/>
    <col collapsed="false" customWidth="true" hidden="false" max="21" min="21" style="0" width="11"/>
    <col collapsed="false" customWidth="true" hidden="false" max="2" min="2" style="0" width="22"/>
    <col collapsed="false" customWidth="true" hidden="false" max="6" min="6" style="0" width="11"/>
    <col collapsed="false" customWidth="true" hidden="false" max="10" min="10" style="0" width="5"/>
  </cols>
  <sheetData>
    <row r="1">
      <c r="A1" s="2449"/>
      <c r="B1" s="2449" t="s">
        <v>1615</v>
      </c>
      <c r="C1" s="2450" t="s">
        <v>1616</v>
      </c>
      <c r="D1" s="2449" t="s">
        <v>1617</v>
      </c>
      <c r="E1" s="2451" t="s">
        <v>1618</v>
      </c>
      <c r="F1" s="2452" t="s">
        <v>1619</v>
      </c>
      <c r="G1" s="2449" t="s">
        <v>1620</v>
      </c>
      <c r="H1" s="2449" t="s">
        <v>1621</v>
      </c>
      <c r="I1" s="2453" t="s">
        <v>1622</v>
      </c>
      <c r="J1" s="2454"/>
    </row>
    <row customHeight="true" ht="32" r="2">
      <c r="A2" s="2455" t="s">
        <v>1623</v>
      </c>
      <c r="B2" s="2456" t="s">
        <v>1624</v>
      </c>
      <c r="C2" s="2457" t="s">
        <v>1625</v>
      </c>
      <c r="D2" s="2458" t="s">
        <v>1626</v>
      </c>
      <c r="E2" s="2459">
        <v>3</v>
      </c>
      <c r="F2" s="2460" t="s">
        <v>1627</v>
      </c>
      <c r="G2" s="2460"/>
      <c r="H2" s="2461">
        <f t="shared" ref="H2:H20" si="0">E2-G2</f>
      </c>
      <c r="I2" s="2462"/>
    </row>
    <row customHeight="true" hidden="true" ht="30" r="3">
      <c r="A3" s="2455"/>
      <c r="B3" s="2456"/>
      <c r="C3" s="2463"/>
      <c r="D3" s="2464"/>
      <c r="E3" s="2465"/>
      <c r="F3" s="2466"/>
      <c r="G3" s="2466"/>
      <c r="H3" s="2467">
        <f t="shared" si="0"/>
      </c>
      <c r="I3" s="2462"/>
    </row>
    <row customHeight="true" hidden="true" ht="112" r="4">
      <c r="A4" s="2455"/>
      <c r="B4" s="2456"/>
      <c r="C4" s="2468"/>
      <c r="D4" s="2469"/>
      <c r="E4" s="2470"/>
      <c r="F4" s="2471"/>
      <c r="G4" s="2471"/>
      <c r="H4" s="2472">
        <f t="shared" si="0"/>
      </c>
      <c r="I4" s="2462"/>
    </row>
    <row customHeight="true" ht="30" r="5">
      <c r="A5" s="2455" t="s">
        <v>1628</v>
      </c>
      <c r="B5" s="2456" t="s">
        <v>1629</v>
      </c>
      <c r="C5" s="2455" t="s">
        <v>1630</v>
      </c>
      <c r="D5" s="2473" t="s">
        <v>1631</v>
      </c>
      <c r="E5" s="2474"/>
      <c r="F5" s="2475"/>
      <c r="G5" s="2475"/>
      <c r="H5" s="2476">
        <f t="shared" si="0"/>
      </c>
      <c r="I5" s="2462"/>
    </row>
    <row customHeight="true" ht="30" r="6">
      <c r="A6" s="2455"/>
      <c r="B6" s="2456"/>
      <c r="C6" s="2455" t="s">
        <v>1632</v>
      </c>
      <c r="D6" s="2473" t="s">
        <v>1633</v>
      </c>
      <c r="E6" s="2474">
        <v>4</v>
      </c>
      <c r="F6" s="2475" t="s">
        <v>1634</v>
      </c>
      <c r="G6" s="2477">
        <v>4</v>
      </c>
      <c r="H6" s="2476">
        <f t="shared" si="0"/>
      </c>
      <c r="I6" s="2462"/>
    </row>
    <row customHeight="true" ht="30" r="7">
      <c r="A7" s="2455"/>
      <c r="B7" s="2456"/>
      <c r="C7" s="2455" t="s">
        <v>1635</v>
      </c>
      <c r="D7" s="2473" t="s">
        <v>1636</v>
      </c>
      <c r="E7" s="2474">
        <v>3</v>
      </c>
      <c r="F7" s="2475" t="s">
        <v>1637</v>
      </c>
      <c r="G7" s="2475">
        <v>3</v>
      </c>
      <c r="H7" s="2476">
        <f t="shared" si="0"/>
      </c>
      <c r="I7" s="2462"/>
    </row>
    <row customHeight="true" hidden="true" ht="30" r="8">
      <c r="A8" s="2455"/>
      <c r="B8" s="2456"/>
      <c r="C8" s="2455"/>
      <c r="D8" s="2473"/>
      <c r="E8" s="2474"/>
      <c r="F8" s="2475"/>
      <c r="G8" s="2475"/>
      <c r="H8" s="2476">
        <f t="shared" si="0"/>
      </c>
      <c r="I8" s="2462"/>
    </row>
    <row customHeight="true" hidden="true" ht="30" r="9">
      <c r="A9" s="2455"/>
      <c r="B9" s="2456"/>
      <c r="C9" s="2455"/>
      <c r="D9" s="2473"/>
      <c r="E9" s="2474"/>
      <c r="F9" s="2475"/>
      <c r="G9" s="2475"/>
      <c r="H9" s="2476">
        <f t="shared" si="0"/>
      </c>
      <c r="I9" s="2462"/>
    </row>
    <row customHeight="true" ht="16" r="10">
      <c r="A10" s="2478" t="s">
        <v>1638</v>
      </c>
      <c r="B10" s="2478"/>
      <c r="C10" s="2478"/>
      <c r="D10" s="2478"/>
      <c r="E10" s="2479">
        <f>SUM(E2:E9)</f>
      </c>
      <c r="F10" s="2480"/>
      <c r="G10" s="2479">
        <f>SUM(G2:G9)</f>
      </c>
      <c r="H10" s="2479">
        <f t="shared" si="0"/>
      </c>
      <c r="I10" s="2462"/>
      <c r="K10" s="2481"/>
    </row>
    <row r="11">
      <c r="A11" s="2468" t="s">
        <v>1639</v>
      </c>
      <c r="B11" s="2482" t="s">
        <v>1640</v>
      </c>
      <c r="C11" s="2468" t="s">
        <v>1641</v>
      </c>
      <c r="D11" s="2469" t="s">
        <v>1642</v>
      </c>
      <c r="E11" s="2470">
        <v>2</v>
      </c>
      <c r="F11" s="2471" t="s">
        <v>1634</v>
      </c>
      <c r="G11" s="2471"/>
      <c r="H11" s="2472">
        <f t="shared" si="0"/>
      </c>
      <c r="I11" s="2462"/>
      <c r="K11" s="2481"/>
    </row>
    <row customHeight="true" ht="81" r="12">
      <c r="A12" s="2468"/>
      <c r="B12" s="2482"/>
      <c r="C12" s="2468" t="s">
        <v>1643</v>
      </c>
      <c r="D12" s="2469" t="s">
        <v>1644</v>
      </c>
      <c r="E12" s="2470">
        <v>2</v>
      </c>
      <c r="F12" s="2471" t="s">
        <v>1634</v>
      </c>
      <c r="G12" s="2471">
        <v>1</v>
      </c>
      <c r="H12" s="2472">
        <f t="shared" si="0"/>
      </c>
      <c r="I12" s="2462"/>
      <c r="K12" s="2481"/>
    </row>
    <row customHeight="true" ht="71" r="13">
      <c r="A13" s="2468"/>
      <c r="B13" s="2482"/>
      <c r="C13" s="2468" t="s">
        <v>1645</v>
      </c>
      <c r="D13" s="2469"/>
      <c r="E13" s="2470">
        <v>2</v>
      </c>
      <c r="F13" s="2471" t="s">
        <v>1637</v>
      </c>
      <c r="G13" s="2471">
        <v>2</v>
      </c>
      <c r="H13" s="2472">
        <f t="shared" si="0"/>
      </c>
      <c r="I13" s="2483"/>
      <c r="K13" s="2481"/>
    </row>
    <row customHeight="true" ht="70" r="14">
      <c r="A14" s="2468"/>
      <c r="B14" s="2482"/>
      <c r="C14" s="2468" t="s">
        <v>1646</v>
      </c>
      <c r="D14" s="2469"/>
      <c r="E14" s="2470">
        <v>2</v>
      </c>
      <c r="F14" s="2471" t="s">
        <v>1637</v>
      </c>
      <c r="G14" s="2471">
        <v>1</v>
      </c>
      <c r="H14" s="2472">
        <f t="shared" si="0"/>
      </c>
      <c r="I14" s="2483"/>
      <c r="K14" s="2481"/>
    </row>
    <row customHeight="true" ht="50" r="15">
      <c r="A15" s="2468"/>
      <c r="B15" s="2482"/>
      <c r="C15" s="2468" t="s">
        <v>1647</v>
      </c>
      <c r="D15" s="2469"/>
      <c r="E15" s="2470">
        <v>2</v>
      </c>
      <c r="F15" s="2471" t="s">
        <v>1648</v>
      </c>
      <c r="G15" s="2471"/>
      <c r="H15" s="2472">
        <f t="shared" si="0"/>
      </c>
      <c r="I15" s="2483"/>
      <c r="K15" s="2481"/>
    </row>
    <row customHeight="true" ht="50" r="16">
      <c r="A16" s="2468"/>
      <c r="B16" s="2482"/>
      <c r="C16" s="2468" t="s">
        <v>1649</v>
      </c>
      <c r="D16" s="2469" t="s">
        <v>1650</v>
      </c>
      <c r="E16" s="2470">
        <v>2</v>
      </c>
      <c r="F16" s="2471" t="s">
        <v>1648</v>
      </c>
      <c r="G16" s="2471"/>
      <c r="H16" s="2472">
        <f t="shared" si="0"/>
      </c>
      <c r="I16" s="2483"/>
      <c r="K16" s="2481"/>
    </row>
    <row customHeight="true" ht="50" r="17">
      <c r="A17" s="2468"/>
      <c r="B17" s="2482"/>
      <c r="C17" s="2468" t="s">
        <v>1651</v>
      </c>
      <c r="D17" s="2469"/>
      <c r="E17" s="2470">
        <v>2</v>
      </c>
      <c r="F17" s="2471" t="s">
        <v>1634</v>
      </c>
      <c r="G17" s="2471">
        <v>2</v>
      </c>
      <c r="H17" s="2472">
        <f t="shared" si="0"/>
      </c>
      <c r="I17" s="2483"/>
      <c r="K17" s="2481"/>
    </row>
    <row customHeight="true" ht="50" r="18">
      <c r="A18" s="2468"/>
      <c r="B18" s="2482"/>
      <c r="C18" s="2468" t="s">
        <v>1652</v>
      </c>
      <c r="D18" s="2469"/>
      <c r="E18" s="2470">
        <v>2</v>
      </c>
      <c r="F18" s="2471" t="s">
        <v>1637</v>
      </c>
      <c r="G18" s="2471"/>
      <c r="H18" s="2472">
        <f t="shared" si="0"/>
      </c>
      <c r="I18" s="2483"/>
      <c r="K18" s="2481"/>
    </row>
    <row customHeight="true" ht="50" r="19">
      <c r="A19" s="2468"/>
      <c r="B19" s="2482"/>
      <c r="C19" s="2468" t="s">
        <v>1653</v>
      </c>
      <c r="D19" s="2469"/>
      <c r="E19" s="2470">
        <v>2</v>
      </c>
      <c r="F19" s="2471" t="s">
        <v>1637</v>
      </c>
      <c r="G19" s="2471">
        <v>2</v>
      </c>
      <c r="H19" s="2472">
        <f t="shared" si="0"/>
      </c>
      <c r="I19" s="2483"/>
      <c r="K19" s="2481"/>
    </row>
    <row customHeight="true" ht="50" r="20">
      <c r="A20" s="2468"/>
      <c r="B20" s="2482"/>
      <c r="C20" s="2468" t="s">
        <v>1654</v>
      </c>
      <c r="D20" s="2469"/>
      <c r="E20" s="2470">
        <v>2</v>
      </c>
      <c r="F20" s="2471" t="s">
        <v>1648</v>
      </c>
      <c r="G20" s="2471"/>
      <c r="H20" s="2472">
        <f t="shared" si="0"/>
      </c>
      <c r="I20" s="2462"/>
      <c r="K20" s="2481"/>
    </row>
    <row customHeight="true" ht="56" r="21">
      <c r="A21" s="2468"/>
      <c r="B21" s="2482"/>
      <c r="C21" s="2484" t="s">
        <v>1655</v>
      </c>
      <c r="D21" s="2484" t="s">
        <v>1656</v>
      </c>
      <c r="E21" s="2485">
        <v>4</v>
      </c>
      <c r="F21" s="2486" t="s">
        <v>1648</v>
      </c>
      <c r="G21" s="2487"/>
      <c r="H21" s="2488"/>
      <c r="I21" s="2489"/>
    </row>
    <row customHeight="true" ht="16" r="22">
      <c r="A22" s="2468"/>
      <c r="B22" s="2482"/>
      <c r="C22" s="2490" t="s">
        <v>1657</v>
      </c>
      <c r="D22" s="2490"/>
      <c r="E22" s="2491">
        <f>SUM(E11:E21)</f>
      </c>
      <c r="F22" s="2492"/>
      <c r="G22" s="2493"/>
      <c r="H22" s="2491">
        <f>SUM(H11:H20)</f>
      </c>
      <c r="I22" s="2489"/>
    </row>
    <row customHeight="true" ht="130" r="23">
      <c r="A23" s="2468" t="s">
        <v>1658</v>
      </c>
      <c r="B23" s="2482" t="s">
        <v>1640</v>
      </c>
      <c r="C23" s="2494" t="s">
        <v>1659</v>
      </c>
      <c r="D23" s="2495" t="s">
        <v>1660</v>
      </c>
      <c r="E23" s="2496">
        <v>8</v>
      </c>
      <c r="F23" s="2497" t="s">
        <v>1637</v>
      </c>
      <c r="G23" s="2497">
        <v>3</v>
      </c>
      <c r="H23" s="2498">
        <f t="shared" ref="H23:H30" si="1">E23-G23</f>
      </c>
      <c r="I23" s="2462" t="s">
        <v>1661</v>
      </c>
    </row>
    <row customHeight="true" ht="81" r="24">
      <c r="A24" s="2468"/>
      <c r="B24" s="2482"/>
      <c r="C24" s="2494"/>
      <c r="D24" s="2495"/>
      <c r="E24" s="2496">
        <v>9</v>
      </c>
      <c r="F24" s="2497" t="s">
        <v>1634</v>
      </c>
      <c r="G24" s="2497"/>
      <c r="H24" s="2498">
        <f t="shared" si="1"/>
      </c>
      <c r="I24" s="2462"/>
    </row>
    <row customHeight="true" ht="81" r="25">
      <c r="A25" s="2468"/>
      <c r="B25" s="2482"/>
      <c r="C25" s="2494" t="s">
        <v>1662</v>
      </c>
      <c r="D25" s="2495" t="s">
        <v>1663</v>
      </c>
      <c r="E25" s="2496">
        <v>6</v>
      </c>
      <c r="F25" s="2497" t="s">
        <v>1648</v>
      </c>
      <c r="G25" s="2497"/>
      <c r="H25" s="2498">
        <f t="shared" si="1"/>
      </c>
      <c r="I25" s="2462"/>
    </row>
    <row customHeight="true" ht="81" r="26">
      <c r="A26" s="2468"/>
      <c r="B26" s="2482"/>
      <c r="C26" s="2484" t="s">
        <v>1664</v>
      </c>
      <c r="D26" s="2499" t="s">
        <v>1665</v>
      </c>
      <c r="E26" s="2485">
        <v>5</v>
      </c>
      <c r="F26" s="2486" t="s">
        <v>1648</v>
      </c>
      <c r="G26" s="2486"/>
      <c r="H26" s="2488">
        <f t="shared" si="1"/>
      </c>
      <c r="I26" s="2462"/>
    </row>
    <row customHeight="true" ht="70" r="27">
      <c r="A27" s="2468"/>
      <c r="B27" s="2482"/>
      <c r="C27" s="2500" t="s">
        <v>1666</v>
      </c>
      <c r="D27" s="2501" t="s">
        <v>1667</v>
      </c>
      <c r="E27" s="2502">
        <v>2</v>
      </c>
      <c r="F27" s="2503" t="s">
        <v>1648</v>
      </c>
      <c r="G27" s="2503"/>
      <c r="H27" s="2504">
        <f t="shared" si="1"/>
      </c>
      <c r="I27" s="2462"/>
      <c r="J27" s="2462"/>
    </row>
    <row customHeight="true" ht="77" r="28">
      <c r="A28" s="2468" t="s">
        <v>1668</v>
      </c>
      <c r="B28" s="2505"/>
      <c r="C28" s="2506" t="s">
        <v>1669</v>
      </c>
      <c r="D28" s="2507" t="s">
        <v>1670</v>
      </c>
      <c r="E28" s="2474">
        <v>3</v>
      </c>
      <c r="F28" s="2475" t="s">
        <v>1671</v>
      </c>
      <c r="G28" s="2475"/>
      <c r="H28" s="2476">
        <f t="shared" si="1"/>
      </c>
      <c r="I28" s="2462"/>
    </row>
    <row customHeight="true" ht="75" r="29">
      <c r="A29" s="2468"/>
      <c r="B29" s="2505"/>
      <c r="C29" s="2508" t="s">
        <v>1672</v>
      </c>
      <c r="D29" s="2509" t="s">
        <v>1673</v>
      </c>
      <c r="E29" s="2470">
        <v>5</v>
      </c>
      <c r="F29" s="2471" t="s">
        <v>1634</v>
      </c>
      <c r="G29" s="2471"/>
      <c r="H29" s="2470">
        <f t="shared" si="1"/>
      </c>
      <c r="I29" s="2462" t="s">
        <v>1674</v>
      </c>
    </row>
    <row customHeight="true" ht="75" r="30">
      <c r="A30" s="2468"/>
      <c r="B30" s="2482"/>
      <c r="C30" s="2508"/>
      <c r="D30" s="2509"/>
      <c r="E30" s="2470">
        <v>5</v>
      </c>
      <c r="F30" s="2471" t="s">
        <v>1637</v>
      </c>
      <c r="G30" s="2471">
        <v>3</v>
      </c>
      <c r="H30" s="2470">
        <f t="shared" si="1"/>
      </c>
      <c r="I30" s="2462" t="s">
        <v>1674</v>
      </c>
    </row>
    <row customHeight="true" hidden="true" ht="30" r="31">
      <c r="A31" s="2468"/>
      <c r="B31" s="2482"/>
      <c r="C31" s="2484"/>
      <c r="D31" s="2484"/>
      <c r="E31" s="2485"/>
      <c r="F31" s="2486"/>
      <c r="G31" s="2486"/>
      <c r="H31" s="2488"/>
      <c r="I31" s="2489"/>
    </row>
    <row customHeight="true" hidden="true" ht="30" r="32">
      <c r="A32" s="2468"/>
      <c r="B32" s="2482"/>
      <c r="C32" s="2510"/>
      <c r="D32" s="2510"/>
      <c r="E32" s="2511"/>
      <c r="F32" s="2512"/>
      <c r="G32" s="2512"/>
      <c r="H32" s="2513"/>
      <c r="I32" s="2489"/>
    </row>
    <row customHeight="true" hidden="true" ht="26" r="33">
      <c r="A33" s="2468"/>
      <c r="B33" s="2482"/>
      <c r="C33" s="2510"/>
      <c r="D33" s="2510"/>
      <c r="E33" s="2511"/>
      <c r="F33" s="2512"/>
      <c r="G33" s="2512"/>
      <c r="H33" s="2513"/>
      <c r="I33" s="2489"/>
    </row>
    <row customHeight="true" ht="16" r="34">
      <c r="A34" s="2468"/>
      <c r="B34" s="2482"/>
      <c r="C34" s="2490" t="s">
        <v>1657</v>
      </c>
      <c r="D34" s="2490"/>
      <c r="E34" s="2491">
        <f>SUM(E23:E30)</f>
      </c>
      <c r="F34" s="2492"/>
      <c r="G34" s="2493"/>
      <c r="H34" s="2491">
        <f>SUM(H23:H30)</f>
      </c>
      <c r="I34" s="2489"/>
    </row>
    <row customHeight="true" hidden="true" ht="76" r="35">
      <c r="A35" s="2468"/>
      <c r="B35" s="2456"/>
      <c r="C35" s="2514"/>
      <c r="D35" s="2515"/>
      <c r="E35" s="2516"/>
      <c r="F35" s="2517" t="s">
        <v>1637</v>
      </c>
      <c r="G35" s="2517"/>
      <c r="H35" s="2518">
        <f t="shared" ref="H35:H39" si="2">E35-G35</f>
      </c>
      <c r="I35" s="2519"/>
      <c r="J35" s="2489"/>
    </row>
    <row customHeight="true" hidden="true" ht="84" r="36">
      <c r="A36" s="2468"/>
      <c r="B36" s="2456"/>
      <c r="C36" s="2455"/>
      <c r="D36" s="2520"/>
      <c r="E36" s="2474"/>
      <c r="F36" s="2475" t="s">
        <v>1637</v>
      </c>
      <c r="G36" s="2475"/>
      <c r="H36" s="2521">
        <f t="shared" si="2"/>
      </c>
      <c r="I36" s="2519"/>
      <c r="J36" s="2489"/>
    </row>
    <row customHeight="true" hidden="true" ht="56" r="37">
      <c r="A37" s="2468"/>
      <c r="B37" s="2456"/>
      <c r="C37" s="2484"/>
      <c r="D37" s="2522"/>
      <c r="E37" s="2485"/>
      <c r="F37" s="2486" t="s">
        <v>1637</v>
      </c>
      <c r="G37" s="2486"/>
      <c r="H37" s="2523">
        <f t="shared" si="2"/>
      </c>
      <c r="I37" s="2462"/>
      <c r="J37" s="2462"/>
    </row>
    <row customHeight="true" hidden="true" ht="53" r="38">
      <c r="A38" s="2468"/>
      <c r="B38" s="2456"/>
      <c r="C38" s="2524"/>
      <c r="D38" s="2525"/>
      <c r="E38" s="2526"/>
      <c r="F38" s="2527" t="s">
        <v>1637</v>
      </c>
      <c r="G38" s="2527"/>
      <c r="H38" s="2528">
        <f t="shared" si="2"/>
      </c>
      <c r="I38" s="2462"/>
      <c r="J38" s="2489"/>
    </row>
    <row customHeight="true" hidden="true" ht="57" r="39">
      <c r="A39" s="2468"/>
      <c r="B39" s="2456"/>
      <c r="C39" s="2510"/>
      <c r="D39" s="2529"/>
      <c r="E39" s="2511"/>
      <c r="F39" s="2512" t="s">
        <v>1637</v>
      </c>
      <c r="G39" s="2512"/>
      <c r="H39" s="2530">
        <f t="shared" si="2"/>
      </c>
      <c r="I39" s="2462"/>
      <c r="J39" s="2462" t="s">
        <v>1675</v>
      </c>
    </row>
    <row customHeight="true" hidden="true" ht="57" r="40">
      <c r="A40" s="2468"/>
      <c r="B40" s="2456"/>
      <c r="C40" s="2510"/>
      <c r="D40" s="2529"/>
      <c r="E40" s="2511"/>
      <c r="F40" s="2512" t="s">
        <v>1637</v>
      </c>
      <c r="G40" s="2512"/>
      <c r="H40" s="2530"/>
      <c r="I40" s="2462"/>
      <c r="J40" s="2462"/>
    </row>
    <row customHeight="true" hidden="true" ht="102" r="41">
      <c r="A41" s="2468"/>
      <c r="B41" s="2456" t="s">
        <v>1676</v>
      </c>
      <c r="C41" s="2494"/>
      <c r="D41" s="2531"/>
      <c r="E41" s="2496"/>
      <c r="F41" s="2497" t="s">
        <v>1677</v>
      </c>
      <c r="G41" s="2497"/>
      <c r="H41" s="2532">
        <f t="shared" ref="H41:H51" si="3">E41-G41</f>
      </c>
      <c r="I41" s="2462"/>
      <c r="J41" s="2462"/>
    </row>
    <row customHeight="true" hidden="true" ht="55" r="42">
      <c r="A42" s="2468"/>
      <c r="B42" s="2456"/>
      <c r="C42" s="2457"/>
      <c r="D42" s="2533"/>
      <c r="E42" s="2459"/>
      <c r="F42" s="2460" t="s">
        <v>1677</v>
      </c>
      <c r="G42" s="2460"/>
      <c r="H42" s="2534">
        <f t="shared" si="3"/>
      </c>
      <c r="I42" s="2535"/>
      <c r="J42" s="2462"/>
    </row>
    <row customHeight="true" hidden="true" ht="49" r="43">
      <c r="A43" s="2468"/>
      <c r="B43" s="2456"/>
      <c r="C43" s="2463"/>
      <c r="D43" s="2536"/>
      <c r="E43" s="2465"/>
      <c r="F43" s="2466" t="s">
        <v>1648</v>
      </c>
      <c r="G43" s="2466"/>
      <c r="H43" s="2537">
        <f t="shared" si="3"/>
      </c>
      <c r="I43" s="2462"/>
      <c r="J43" s="2462"/>
    </row>
    <row customHeight="true" hidden="true" ht="57" r="44">
      <c r="A44" s="2468"/>
      <c r="B44" s="2456"/>
      <c r="C44" s="2468"/>
      <c r="D44" s="2469"/>
      <c r="E44" s="2538"/>
      <c r="F44" s="2539" t="s">
        <v>1648</v>
      </c>
      <c r="G44" s="2539"/>
      <c r="H44" s="2538">
        <f t="shared" si="3"/>
      </c>
      <c r="I44" s="2462"/>
      <c r="J44" s="2489"/>
    </row>
    <row customHeight="true" hidden="true" ht="16" r="45">
      <c r="A45" s="2468"/>
      <c r="B45" s="2456"/>
      <c r="C45" s="2468"/>
      <c r="D45" s="2469"/>
      <c r="E45" s="2540"/>
      <c r="F45" s="2541" t="s">
        <v>1678</v>
      </c>
      <c r="G45" s="2541"/>
      <c r="H45" s="2521">
        <f t="shared" si="3"/>
      </c>
      <c r="I45" s="2462"/>
      <c r="J45" s="2489"/>
    </row>
    <row customHeight="true" hidden="true" ht="16" r="46">
      <c r="A46" s="2468"/>
      <c r="B46" s="2456"/>
      <c r="C46" s="2542"/>
      <c r="D46" s="2543"/>
      <c r="E46" s="2544"/>
      <c r="F46" s="2545"/>
      <c r="G46" s="2545"/>
      <c r="H46" s="2523">
        <f t="shared" si="3"/>
      </c>
      <c r="I46" s="2489"/>
      <c r="J46" s="2489"/>
    </row>
    <row customHeight="true" hidden="true" ht="31" r="47">
      <c r="A47" s="2468"/>
      <c r="B47" s="2456"/>
      <c r="C47" s="2546"/>
      <c r="D47" s="2547"/>
      <c r="E47" s="2548"/>
      <c r="F47" s="2549"/>
      <c r="G47" s="2549"/>
      <c r="H47" s="2528">
        <f t="shared" si="3"/>
      </c>
      <c r="I47" s="2462"/>
      <c r="J47" s="2489"/>
    </row>
    <row customHeight="true" hidden="true" ht="31" r="48">
      <c r="A48" s="2468"/>
      <c r="B48" s="2456"/>
      <c r="C48" s="2550"/>
      <c r="D48" s="2551"/>
      <c r="E48" s="2552"/>
      <c r="F48" s="2553"/>
      <c r="G48" s="2553"/>
      <c r="H48" s="2530">
        <f t="shared" si="3"/>
      </c>
      <c r="I48" s="2462"/>
      <c r="J48" s="2489"/>
    </row>
    <row customHeight="true" hidden="true" ht="31" r="49">
      <c r="A49" s="2468"/>
      <c r="B49" s="2456"/>
      <c r="C49" s="2554"/>
      <c r="D49" s="2555"/>
      <c r="E49" s="2556"/>
      <c r="F49" s="2557"/>
      <c r="G49" s="2557"/>
      <c r="H49" s="2532">
        <f t="shared" si="3"/>
      </c>
      <c r="I49" s="2462"/>
      <c r="J49" s="2489"/>
    </row>
    <row customHeight="true" hidden="true" ht="56" r="50">
      <c r="A50" s="2468"/>
      <c r="B50" s="2456"/>
      <c r="C50" s="2558"/>
      <c r="D50" s="2559"/>
      <c r="E50" s="2560"/>
      <c r="F50" s="2561"/>
      <c r="G50" s="2561"/>
      <c r="H50" s="2537">
        <f t="shared" si="3"/>
      </c>
      <c r="I50" s="2462"/>
      <c r="J50" s="2489"/>
    </row>
    <row customHeight="true" hidden="true" ht="31" r="51">
      <c r="A51" s="2468"/>
      <c r="B51" s="2456"/>
      <c r="C51" s="2562"/>
      <c r="D51" s="2563"/>
      <c r="E51" s="2538"/>
      <c r="F51" s="2539"/>
      <c r="G51" s="2539"/>
      <c r="H51" s="2564">
        <f t="shared" si="3"/>
      </c>
      <c r="I51" s="2489"/>
      <c r="J51" s="2489"/>
    </row>
    <row customHeight="true" hidden="true" ht="15" r="52">
      <c r="A52" s="2468"/>
      <c r="B52" s="2456"/>
      <c r="C52" s="2565" t="s">
        <v>1657</v>
      </c>
      <c r="D52" s="2565"/>
      <c r="E52" s="2566">
        <f>SUM(E35:E51)</f>
      </c>
      <c r="F52" s="2567"/>
      <c r="G52" s="2568"/>
      <c r="H52" s="2566">
        <f>SUM(H35:H44)</f>
      </c>
      <c r="I52" s="2489"/>
      <c r="J52" s="2489"/>
    </row>
    <row customHeight="true" hidden="true" ht="78" r="53">
      <c r="A53" s="2468"/>
      <c r="B53" s="2482"/>
      <c r="C53" s="2569"/>
      <c r="D53" s="2501"/>
      <c r="E53" s="2502"/>
      <c r="F53" s="2503"/>
      <c r="G53" s="2503"/>
      <c r="H53" s="2504">
        <f t="shared" ref="H53:H57" si="4">E53-G53</f>
      </c>
      <c r="I53" s="2462"/>
    </row>
    <row customHeight="true" hidden="true" ht="79" r="54">
      <c r="A54" s="2468"/>
      <c r="B54" s="2482"/>
      <c r="C54" s="2570"/>
      <c r="D54" s="2464"/>
      <c r="E54" s="2560"/>
      <c r="F54" s="2561"/>
      <c r="G54" s="2561"/>
      <c r="H54" s="2537">
        <f t="shared" si="4"/>
      </c>
      <c r="I54" s="2462"/>
    </row>
    <row customHeight="true" hidden="true" ht="99" r="55">
      <c r="A55" s="2468"/>
      <c r="B55" s="2482"/>
      <c r="C55" s="2571"/>
      <c r="D55" s="2469"/>
      <c r="E55" s="2538"/>
      <c r="F55" s="2539"/>
      <c r="G55" s="2539"/>
      <c r="H55" s="2564">
        <f t="shared" si="4"/>
      </c>
      <c r="I55" s="2462"/>
    </row>
    <row customHeight="true" hidden="true" ht="60" r="56">
      <c r="A56" s="2468"/>
      <c r="B56" s="2482"/>
      <c r="C56" s="2572"/>
      <c r="D56" s="2573"/>
      <c r="E56" s="2540"/>
      <c r="F56" s="2541"/>
      <c r="G56" s="2541"/>
      <c r="H56" s="2521">
        <f t="shared" si="4"/>
      </c>
      <c r="I56" s="2462"/>
    </row>
    <row customHeight="true" hidden="true" ht="54" r="57">
      <c r="A57" s="2468"/>
      <c r="B57" s="2482"/>
      <c r="C57" s="2542"/>
      <c r="D57" s="2543"/>
      <c r="E57" s="2544"/>
      <c r="F57" s="2545"/>
      <c r="G57" s="2545"/>
      <c r="H57" s="2523">
        <f t="shared" si="4"/>
      </c>
      <c r="I57" s="2462" t="s">
        <v>1679</v>
      </c>
    </row>
    <row customHeight="true" hidden="true" ht="13" r="58">
      <c r="A58" s="2468"/>
      <c r="B58" s="2482"/>
      <c r="C58" s="2565" t="s">
        <v>1657</v>
      </c>
      <c r="D58" s="2565"/>
      <c r="E58" s="2566">
        <f>SUM(E53:E57)</f>
      </c>
      <c r="F58" s="2567"/>
      <c r="G58" s="2568"/>
      <c r="H58" s="2566">
        <f>SUM(H53:H57)</f>
      </c>
      <c r="I58" s="2489"/>
    </row>
    <row customHeight="true" hidden="true" ht="16" r="59">
      <c r="A59" s="2478" t="s">
        <v>1638</v>
      </c>
      <c r="B59" s="2478"/>
      <c r="C59" s="2478"/>
      <c r="D59" s="2478"/>
      <c r="E59" s="2479">
        <f>SUM(E22,E34,E52,E58)</f>
      </c>
      <c r="F59" s="2480"/>
      <c r="G59" s="2574"/>
      <c r="H59" s="2479">
        <f>SUM(H22,H34,H52,H58)</f>
      </c>
      <c r="I59" s="2489"/>
      <c r="J59" s="2462"/>
    </row>
    <row customHeight="true" hidden="true" ht="185" r="60">
      <c r="A60" s="2494"/>
      <c r="B60" s="2482"/>
      <c r="C60" s="2536"/>
      <c r="D60" s="2522"/>
      <c r="E60" s="2485"/>
      <c r="F60" s="2486"/>
      <c r="G60" s="2486"/>
      <c r="H60" s="2523">
        <f>E60-G60</f>
      </c>
      <c r="I60" s="2483" t="s">
        <v>1680</v>
      </c>
      <c r="J60" s="2519"/>
    </row>
    <row customHeight="true" hidden="true" ht="43" r="61">
      <c r="A61" s="2494"/>
      <c r="B61" s="2482"/>
      <c r="C61" s="2463"/>
      <c r="D61" s="2522"/>
      <c r="E61" s="2485"/>
      <c r="F61" s="2486"/>
      <c r="G61" s="2486"/>
      <c r="H61" s="2523"/>
      <c r="I61" s="2483"/>
    </row>
    <row customHeight="true" hidden="true" ht="41" r="62">
      <c r="A62" s="2494"/>
      <c r="B62" s="2482"/>
      <c r="C62" s="2463"/>
      <c r="D62" s="2522"/>
      <c r="E62" s="2485"/>
      <c r="F62" s="2545"/>
      <c r="G62" s="2545"/>
      <c r="H62" s="2523">
        <f t="shared" ref="H62:H65" si="5">E62-G62</f>
      </c>
      <c r="I62" s="2483"/>
    </row>
    <row customHeight="true" hidden="true" ht="41" r="63">
      <c r="A63" s="2494"/>
      <c r="B63" s="2482"/>
      <c r="C63" s="2463"/>
      <c r="D63" s="2522"/>
      <c r="E63" s="2485"/>
      <c r="F63" s="2557"/>
      <c r="G63" s="2557"/>
      <c r="H63" s="2532">
        <f t="shared" si="5"/>
      </c>
      <c r="I63" s="2483"/>
      <c r="J63" s="2462"/>
    </row>
    <row customHeight="true" hidden="true" ht="41" r="64">
      <c r="A64" s="2494"/>
      <c r="B64" s="2482"/>
      <c r="C64" s="2463"/>
      <c r="D64" s="2522"/>
      <c r="E64" s="2485"/>
      <c r="F64" s="2575"/>
      <c r="G64" s="2575"/>
      <c r="H64" s="2518">
        <f t="shared" si="5"/>
      </c>
      <c r="I64" s="2483"/>
      <c r="J64" s="2462"/>
    </row>
    <row customHeight="true" hidden="true" ht="41" r="65">
      <c r="A65" s="2494"/>
      <c r="B65" s="2482"/>
      <c r="C65" s="2463"/>
      <c r="D65" s="2522"/>
      <c r="E65" s="2485"/>
      <c r="F65" s="2561"/>
      <c r="G65" s="2561"/>
      <c r="H65" s="2537">
        <f t="shared" si="5"/>
      </c>
      <c r="I65" s="2483"/>
      <c r="J65" s="2462"/>
    </row>
    <row customHeight="true" hidden="true" ht="16" r="66">
      <c r="A66" s="2494"/>
      <c r="B66" s="2482"/>
      <c r="C66" s="2565" t="s">
        <v>1657</v>
      </c>
      <c r="D66" s="2565"/>
      <c r="E66" s="2566">
        <f>SUM(E60:E65)</f>
      </c>
      <c r="F66" s="2567"/>
      <c r="G66" s="2568"/>
      <c r="H66" s="2566">
        <f>SUM(H60:H65)</f>
      </c>
    </row>
    <row customHeight="true" hidden="true" ht="16" r="67">
      <c r="A67" s="2478" t="s">
        <v>1638</v>
      </c>
      <c r="B67" s="2478"/>
      <c r="C67" s="2478"/>
      <c r="D67" s="2478"/>
      <c r="E67" s="2479">
        <f>SUM(E66)</f>
      </c>
      <c r="F67" s="2480"/>
      <c r="G67" s="2574"/>
      <c r="H67" s="2479">
        <f>SUM(H66)</f>
      </c>
      <c r="I67" s="2489"/>
    </row>
    <row customHeight="true" ht="100" r="68">
      <c r="A68" s="2510" t="s">
        <v>1681</v>
      </c>
      <c r="B68" s="2482" t="s">
        <v>1676</v>
      </c>
      <c r="C68" s="2510" t="s">
        <v>1682</v>
      </c>
      <c r="D68" s="2529" t="s">
        <v>1683</v>
      </c>
      <c r="E68" s="2511"/>
      <c r="F68" s="2512"/>
      <c r="G68" s="2512"/>
      <c r="H68" s="2530">
        <f>E68-G68</f>
      </c>
      <c r="I68" s="2489"/>
      <c r="J68" s="2489"/>
    </row>
    <row customHeight="true" ht="17" r="69">
      <c r="A69" s="2478" t="s">
        <v>1638</v>
      </c>
      <c r="B69" s="2478"/>
      <c r="C69" s="2478"/>
      <c r="D69" s="2478"/>
      <c r="E69" s="2479">
        <f>SUM(E68)</f>
      </c>
      <c r="F69" s="2480"/>
      <c r="G69" s="2574"/>
      <c r="H69" s="2479">
        <f>SUM(H68)</f>
      </c>
      <c r="I69" s="2489"/>
      <c r="J69" s="2489"/>
    </row>
    <row customHeight="true" ht="16" r="70">
      <c r="A70" s="2479" t="s">
        <v>1657</v>
      </c>
      <c r="B70" s="2479"/>
      <c r="C70" s="2479"/>
      <c r="D70" s="2479"/>
      <c r="E70" s="2479">
        <f>SUM(E10,E59,E67,E69)</f>
      </c>
      <c r="F70" s="2480"/>
      <c r="G70" s="2576"/>
      <c r="H70" s="2479">
        <f>SUM(H10,H59,H67,H69)</f>
      </c>
      <c r="I70" s="2462"/>
      <c r="J70" s="2489"/>
    </row>
    <row customHeight="true" ht="16" r="71">
      <c r="B71" s="2489"/>
      <c r="C71" s="2489"/>
      <c r="D71" s="2489"/>
      <c r="E71" s="2489"/>
      <c r="F71" s="2462"/>
      <c r="G71" s="2462"/>
      <c r="H71" s="2462"/>
      <c r="I71" s="2489"/>
      <c r="J71" s="2489"/>
    </row>
    <row customHeight="true" ht="16" r="72">
      <c r="B72" s="2489"/>
      <c r="C72" s="2489"/>
      <c r="D72" s="2489"/>
      <c r="E72" s="2489"/>
      <c r="F72" s="2462"/>
      <c r="G72" s="2462"/>
      <c r="H72" s="2462"/>
      <c r="I72" s="2489"/>
      <c r="J72" s="2462"/>
      <c r="K72" s="2462"/>
      <c r="L72" s="2462"/>
      <c r="M72" s="2462"/>
      <c r="N72" s="2462"/>
      <c r="O72" s="2462"/>
      <c r="P72" s="2462"/>
    </row>
    <row r="73">
      <c r="D73" s="2489"/>
      <c r="E73" s="2493" t="s">
        <v>1684</v>
      </c>
      <c r="F73" s="2577" t="s">
        <v>1618</v>
      </c>
      <c r="G73" s="2577" t="s">
        <v>1685</v>
      </c>
      <c r="H73" s="2577" t="s">
        <v>1621</v>
      </c>
      <c r="I73" s="2462"/>
      <c r="J73" s="2462"/>
      <c r="M73" s="2462"/>
    </row>
    <row r="74">
      <c r="D74" s="2489"/>
      <c r="E74" s="2578" t="s">
        <v>1627</v>
      </c>
      <c r="F74" s="2579">
        <f>SUMIF(F2:F70,"Huyền",E2:E70)</f>
      </c>
      <c r="G74" s="2579">
        <f>SUMIF(F2:F70,"Huyền",G2:G70)</f>
      </c>
      <c r="H74" s="2579">
        <f t="shared" ref="H74:H81" si="6">F74-G74</f>
      </c>
      <c r="I74" s="2462"/>
      <c r="J74" s="2462"/>
    </row>
    <row r="75">
      <c r="D75" s="2462"/>
      <c r="E75" s="2577" t="s">
        <v>1637</v>
      </c>
      <c r="F75" s="2493">
        <f>SUMIF(F2:F70,"Hoa",E2:E70)</f>
      </c>
      <c r="G75" s="2579">
        <f>SUMIF(F2:F70,"Hoa",G2:G70)</f>
      </c>
      <c r="H75" s="2493">
        <f t="shared" si="6"/>
      </c>
      <c r="I75" s="2462"/>
      <c r="J75" s="2462"/>
      <c r="K75" s="2462" t="s">
        <v>1671</v>
      </c>
      <c r="L75" s="2462" t="s">
        <v>1686</v>
      </c>
      <c r="M75" s="2462" t="s">
        <v>1687</v>
      </c>
      <c r="N75" s="2462" t="s">
        <v>1688</v>
      </c>
      <c r="O75" s="2462" t="s">
        <v>1689</v>
      </c>
      <c r="P75" s="2462" t="s">
        <v>1690</v>
      </c>
      <c r="Q75" s="2462" t="s">
        <v>1637</v>
      </c>
      <c r="R75" s="2462" t="s">
        <v>1648</v>
      </c>
      <c r="S75" s="2462" t="s">
        <v>1691</v>
      </c>
      <c r="T75" s="2462" t="s">
        <v>1692</v>
      </c>
      <c r="U75" s="2462"/>
      <c r="V75" s="2462"/>
    </row>
    <row r="76">
      <c r="D76" s="2462"/>
      <c r="E76" s="2493" t="s">
        <v>1634</v>
      </c>
      <c r="F76" s="2568">
        <f>SUMIF(F2:F70,"Thúy",E2:E70)</f>
      </c>
      <c r="G76" s="2579">
        <f>SUMIF(F2:F70,"Thúy",G2:G70)</f>
      </c>
      <c r="H76" s="2493">
        <f t="shared" si="6"/>
      </c>
      <c r="I76" s="2462"/>
      <c r="J76" s="2462" t="s">
        <v>1693</v>
      </c>
      <c r="K76" s="2462">
        <v>10</v>
      </c>
      <c r="L76" s="2462">
        <v>25</v>
      </c>
      <c r="M76" s="2462">
        <v>5</v>
      </c>
      <c r="N76" s="2462"/>
      <c r="O76" s="2462">
        <v>10</v>
      </c>
      <c r="P76" s="2462"/>
      <c r="S76" s="2462"/>
      <c r="T76">
        <f t="shared" ref="T76:T81" si="7">SUM(K76:S76)</f>
      </c>
    </row>
    <row r="77">
      <c r="D77" s="2462"/>
      <c r="E77" s="2577" t="s">
        <v>1677</v>
      </c>
      <c r="F77" s="2580">
        <f>SUMIF(F2:F70,"Ngân",E2:E70)</f>
      </c>
      <c r="G77" s="2579">
        <f>SUMIF(F2:F70,"Ngân",G2:G70)</f>
      </c>
      <c r="H77" s="2581">
        <f t="shared" si="6"/>
      </c>
      <c r="I77" s="2462"/>
      <c r="J77" s="2462" t="s">
        <v>1694</v>
      </c>
      <c r="L77" s="2462"/>
      <c r="O77" s="2462">
        <v>15</v>
      </c>
      <c r="P77" s="2462"/>
      <c r="S77" s="2462">
        <v>25</v>
      </c>
      <c r="T77">
        <f t="shared" si="7"/>
      </c>
    </row>
    <row customHeight="true" ht="16" r="78">
      <c r="D78" s="2489"/>
      <c r="E78" s="2582" t="s">
        <v>1678</v>
      </c>
      <c r="F78" s="2583">
        <f>SUMIF(F2:F70,"Bích",E2:E70)</f>
      </c>
      <c r="G78" s="2579">
        <f>SUMIF(F2:F70,"Bích",G2:G70)</f>
      </c>
      <c r="H78" s="2584">
        <f t="shared" si="6"/>
      </c>
      <c r="I78" s="2462"/>
      <c r="J78" s="2462" t="s">
        <v>1695</v>
      </c>
      <c r="M78" s="2462">
        <v>20</v>
      </c>
      <c r="P78" s="2462"/>
      <c r="Q78" s="2462"/>
      <c r="T78">
        <f t="shared" si="7"/>
      </c>
    </row>
    <row customHeight="true" ht="16" r="79">
      <c r="D79" s="2489"/>
      <c r="E79" s="2585" t="s">
        <v>1648</v>
      </c>
      <c r="F79" s="2586">
        <f>SUMIF(F3:F70,"Phương",E3:E70)</f>
      </c>
      <c r="G79" s="2579">
        <f>SUMIF(F2:F70,"Phương",G2:G70)</f>
      </c>
      <c r="H79" s="2587">
        <f t="shared" si="6"/>
      </c>
      <c r="I79" s="2462"/>
      <c r="J79" s="2462" t="s">
        <v>1696</v>
      </c>
      <c r="K79" s="2462">
        <v>15</v>
      </c>
      <c r="L79" s="2462"/>
      <c r="T79">
        <f t="shared" si="7"/>
      </c>
    </row>
    <row r="80">
      <c r="D80" s="2489"/>
      <c r="E80" s="2585" t="s">
        <v>1689</v>
      </c>
      <c r="F80" s="2586">
        <f>SUMIF(F4:F71,"Mai",E4:E71)</f>
      </c>
      <c r="G80" s="2579">
        <f>SUMIF(F2:F70,"Mai",G2:G70)</f>
      </c>
      <c r="H80" s="2587">
        <f t="shared" si="6"/>
      </c>
      <c r="I80" s="2462"/>
      <c r="J80" s="2462" t="s">
        <v>1697</v>
      </c>
      <c r="M80" s="2462"/>
      <c r="O80" s="2462"/>
      <c r="P80" s="2462">
        <v>20</v>
      </c>
      <c r="Q80" s="2462">
        <v>20</v>
      </c>
      <c r="R80" s="2462">
        <v>20</v>
      </c>
      <c r="S80" s="2462"/>
      <c r="T80">
        <f t="shared" si="7"/>
      </c>
    </row>
    <row r="81">
      <c r="D81" s="2462"/>
      <c r="E81" s="2588" t="s">
        <v>1657</v>
      </c>
      <c r="F81" s="2589">
        <f>SUM(F74:F80)</f>
      </c>
      <c r="G81" s="2579">
        <f>SUM(G74:G80)</f>
      </c>
      <c r="H81" s="2589">
        <f t="shared" si="6"/>
      </c>
      <c r="I81" s="2462"/>
      <c r="J81" s="2462" t="s">
        <v>1638</v>
      </c>
      <c r="K81">
        <f>SUM(K76:K80)</f>
      </c>
      <c r="L81">
        <f>SUM(L76:L80)</f>
      </c>
      <c r="M81">
        <f>SUM(M76:M80)</f>
      </c>
      <c r="N81">
        <f>SUM(N76:N80)</f>
      </c>
      <c r="O81">
        <f>SUM(O76:O80)</f>
      </c>
      <c r="P81">
        <f>SUM(P76:P80)</f>
      </c>
      <c r="Q81">
        <f>SUM(Q76:Q80)</f>
      </c>
      <c r="R81">
        <f>SUM(R76:R80)</f>
      </c>
      <c r="S81">
        <f>SUM(S76:S80)</f>
      </c>
      <c r="T81">
        <f t="shared" si="7"/>
      </c>
    </row>
    <row r="82">
      <c r="F82" s="2489"/>
      <c r="G82" s="2489"/>
      <c r="H82" s="2489"/>
      <c r="I82" s="2462"/>
      <c r="L82" s="2462"/>
      <c r="N82" s="2462"/>
    </row>
    <row r="83">
      <c r="J83" s="2462"/>
      <c r="K83" s="2462"/>
      <c r="L83" s="2462"/>
      <c r="M83" s="2462"/>
      <c r="N83" s="2462"/>
      <c r="O83" s="2462"/>
      <c r="P83" s="2462"/>
      <c r="Q83" s="2462"/>
      <c r="R83" s="2462"/>
      <c r="S83" s="2462"/>
      <c r="T83" s="2462"/>
    </row>
    <row r="84">
      <c r="J84" s="2462"/>
      <c r="K84" s="2462"/>
      <c r="L84" s="2462"/>
      <c r="M84" s="2462"/>
      <c r="N84" s="2462"/>
      <c r="O84" s="2462"/>
      <c r="P84" s="2462"/>
    </row>
    <row r="85">
      <c r="J85" s="2462"/>
      <c r="L85" s="2462"/>
      <c r="N85" s="2462"/>
      <c r="O85" s="2462"/>
      <c r="P85" s="2462"/>
      <c r="S85" s="2462"/>
    </row>
    <row r="86">
      <c r="J86" s="2462"/>
      <c r="M86" s="2462"/>
      <c r="Q86" s="2462"/>
    </row>
    <row r="87">
      <c r="J87" s="2462"/>
      <c r="K87" s="2462"/>
      <c r="L87" s="2462"/>
    </row>
    <row r="88">
      <c r="J88" s="2462"/>
      <c r="M88" s="2462"/>
      <c r="O88" s="2462"/>
      <c r="P88" s="2462"/>
      <c r="Q88" s="2462"/>
      <c r="R88" s="2462"/>
      <c r="S88" s="2462"/>
    </row>
    <row r="89">
      <c r="J89" s="2462"/>
    </row>
  </sheetData>
  <mergeCells>
    <mergeCell ref="A2:A4"/>
    <mergeCell ref="B2:B4"/>
    <mergeCell ref="B5:B8"/>
    <mergeCell ref="A10:D10"/>
    <mergeCell ref="A5:A9"/>
    <mergeCell ref="A11:A19"/>
    <mergeCell ref="B11:B20"/>
    <mergeCell ref="D23:D24"/>
    <mergeCell ref="C23:C24"/>
    <mergeCell ref="C34:D34"/>
    <mergeCell ref="B41:B42"/>
    <mergeCell ref="A59:D59"/>
    <mergeCell ref="C58:D58"/>
    <mergeCell ref="C52:D52"/>
    <mergeCell ref="C66:D66"/>
    <mergeCell ref="A67:D67"/>
    <mergeCell ref="A69:D69"/>
    <mergeCell ref="A70:D70"/>
    <mergeCell ref="I60:I65"/>
    <mergeCell ref="A23:A27"/>
    <mergeCell ref="A28:A29"/>
    <mergeCell ref="B23:B29"/>
    <mergeCell ref="C22:D22"/>
    <mergeCell ref="D12:D15"/>
    <mergeCell ref="D16:D20"/>
    <mergeCell ref="C29:C30"/>
    <mergeCell ref="D29:D30"/>
  </mergeCells>
  <picture r:id="rId1"/>
</worksheet>
</file>

<file path=xl/worksheets/sheet2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3" min="3" style="0" width="22"/>
    <col collapsed="false" customWidth="true" hidden="false" max="7" min="7" style="0" width="11"/>
    <col collapsed="false" customWidth="true" hidden="false" max="11" min="11" style="0" width="8"/>
    <col collapsed="false" customWidth="true" hidden="false" max="15" min="15" style="0" width="7"/>
    <col collapsed="false" customWidth="true" hidden="false" max="19" min="19" style="0" width="10"/>
    <col collapsed="false" customWidth="true" hidden="false" max="4" min="4" style="0" width="29"/>
    <col collapsed="false" customWidth="true" hidden="false" max="8" min="8" style="0" width="11"/>
    <col collapsed="false" customWidth="true" hidden="false" max="12" min="12" style="0" width="7"/>
    <col collapsed="false" customWidth="true" hidden="false" max="16" min="16" style="0" width="6"/>
    <col collapsed="false" customWidth="true" hidden="false" max="1" min="1" style="0" width="22"/>
    <col collapsed="false" customWidth="true" hidden="false" max="5" min="5" style="0" width="11"/>
    <col collapsed="false" customWidth="true" hidden="false" max="9" min="9" style="0" width="18"/>
    <col collapsed="false" customWidth="true" hidden="false" max="13" min="13" style="0" width="7"/>
    <col collapsed="false" customWidth="true" hidden="false" max="17" min="17" style="0" width="6"/>
    <col collapsed="false" customWidth="true" hidden="false" max="21" min="21" style="0" width="11"/>
    <col collapsed="false" customWidth="true" hidden="false" max="2" min="2" style="0" width="22"/>
    <col collapsed="false" customWidth="true" hidden="false" max="6" min="6" style="0" width="11"/>
    <col collapsed="false" customWidth="true" hidden="false" max="10" min="10" style="0" width="5"/>
    <col collapsed="false" customWidth="true" hidden="false" max="14" min="14" style="0" width="7"/>
    <col collapsed="false" customWidth="true" hidden="false" max="18" min="18" style="0" width="7"/>
    <col collapsed="false" customWidth="true" hidden="false" max="22" min="22" style="0" width="11"/>
  </cols>
  <sheetData>
    <row r="1">
      <c r="A1" s="2590"/>
      <c r="B1" s="2590" t="s">
        <v>1698</v>
      </c>
      <c r="C1" s="2591" t="s">
        <v>1699</v>
      </c>
      <c r="D1" s="2590" t="s">
        <v>1700</v>
      </c>
      <c r="E1" s="2592" t="s">
        <v>1701</v>
      </c>
      <c r="F1" s="2593" t="s">
        <v>1702</v>
      </c>
      <c r="G1" s="2590" t="s">
        <v>1703</v>
      </c>
      <c r="H1" s="2590" t="s">
        <v>1704</v>
      </c>
      <c r="I1" s="2594" t="s">
        <v>1705</v>
      </c>
      <c r="J1" s="2595"/>
    </row>
    <row customHeight="true" ht="63" r="2">
      <c r="A2" s="2596" t="s">
        <v>1706</v>
      </c>
      <c r="B2" s="2597" t="s">
        <v>1707</v>
      </c>
      <c r="C2" s="2598" t="s">
        <v>1708</v>
      </c>
      <c r="D2" s="2599" t="s">
        <v>1709</v>
      </c>
      <c r="E2" s="2600">
        <v>3</v>
      </c>
      <c r="F2" s="2601" t="s">
        <v>1710</v>
      </c>
      <c r="G2" s="2601"/>
      <c r="H2" s="2602">
        <f t="shared" ref="H2:H19" si="2">E2-G2</f>
      </c>
      <c r="I2" s="2603"/>
    </row>
    <row customHeight="true" ht="30" r="3">
      <c r="A3" s="2596" t="s">
        <v>1711</v>
      </c>
      <c r="B3" s="2597" t="s">
        <v>1712</v>
      </c>
      <c r="C3" s="2596" t="s">
        <v>1713</v>
      </c>
      <c r="D3" s="2604" t="s">
        <v>1714</v>
      </c>
      <c r="E3" s="2605">
        <v>3</v>
      </c>
      <c r="F3" s="2606" t="s">
        <v>1710</v>
      </c>
      <c r="G3" s="2606">
        <v>2</v>
      </c>
      <c r="H3" s="2607">
        <f t="shared" si="2"/>
      </c>
      <c r="I3" s="2603"/>
    </row>
    <row customHeight="true" ht="31" r="4">
      <c r="A4" s="2596"/>
      <c r="B4" s="2597"/>
      <c r="C4" s="2596" t="s">
        <v>1715</v>
      </c>
      <c r="D4" s="2604" t="s">
        <v>1716</v>
      </c>
      <c r="E4" s="2605">
        <v>2</v>
      </c>
      <c r="F4" s="2606" t="s">
        <v>1717</v>
      </c>
      <c r="G4" s="2606"/>
      <c r="H4" s="2607">
        <f t="shared" si="2"/>
      </c>
      <c r="I4" s="2603"/>
    </row>
    <row customHeight="true" ht="43" r="5">
      <c r="A5" s="2596"/>
      <c r="B5" s="2597"/>
      <c r="C5" s="2596" t="s">
        <v>1718</v>
      </c>
      <c r="D5" s="2604" t="s">
        <v>1716</v>
      </c>
      <c r="E5" s="2605">
        <v>3</v>
      </c>
      <c r="F5" s="2606" t="s">
        <v>1719</v>
      </c>
      <c r="G5" s="2606">
        <v>3</v>
      </c>
      <c r="H5" s="2607">
        <f t="shared" si="2"/>
      </c>
      <c r="I5" s="2603"/>
    </row>
    <row customHeight="true" ht="30" r="6">
      <c r="A6" s="2596"/>
      <c r="B6" s="2597"/>
      <c r="C6" s="2596" t="s">
        <v>1720</v>
      </c>
      <c r="D6" s="2604" t="s">
        <v>1721</v>
      </c>
      <c r="E6" s="2605">
        <v>2</v>
      </c>
      <c r="F6" s="2606" t="s">
        <v>1717</v>
      </c>
      <c r="G6" s="2608">
        <v>2</v>
      </c>
      <c r="H6" s="2607">
        <f t="shared" si="2"/>
      </c>
      <c r="I6" s="2603"/>
    </row>
    <row customHeight="true" ht="30" r="7">
      <c r="A7" s="2596"/>
      <c r="B7" s="2597"/>
      <c r="C7" s="2596" t="s">
        <v>1722</v>
      </c>
      <c r="D7" s="2604" t="s">
        <v>1721</v>
      </c>
      <c r="E7" s="2605">
        <v>3</v>
      </c>
      <c r="F7" s="2606" t="s">
        <v>1719</v>
      </c>
      <c r="G7" s="2606"/>
      <c r="H7" s="2607">
        <f t="shared" si="2"/>
      </c>
      <c r="I7" s="2603"/>
    </row>
    <row customHeight="true" ht="16" r="8">
      <c r="A8" s="2609" t="s">
        <v>1723</v>
      </c>
      <c r="B8" s="2609"/>
      <c r="C8" s="2609"/>
      <c r="D8" s="2609"/>
      <c r="E8" s="2610">
        <f>SUM(E2:E7)</f>
      </c>
      <c r="F8" s="2611"/>
      <c r="G8" s="2610">
        <f>SUM(G2:G7)</f>
      </c>
      <c r="H8" s="2610">
        <f t="shared" si="2"/>
      </c>
      <c r="I8" s="2603"/>
      <c r="K8" s="2612"/>
    </row>
    <row r="9">
      <c r="A9" s="2613" t="s">
        <v>1724</v>
      </c>
      <c r="B9" s="2614" t="s">
        <v>1725</v>
      </c>
      <c r="C9" s="2613" t="s">
        <v>1726</v>
      </c>
      <c r="D9" s="2615" t="s">
        <v>1727</v>
      </c>
      <c r="E9" s="2616">
        <v>2</v>
      </c>
      <c r="F9" s="2617" t="s">
        <v>1717</v>
      </c>
      <c r="G9" s="2618">
        <v>2</v>
      </c>
      <c r="H9" s="2619">
        <f t="shared" si="2"/>
      </c>
      <c r="I9" s="2603"/>
      <c r="K9" s="2612"/>
    </row>
    <row customHeight="true" ht="81" r="10">
      <c r="A10" s="2613"/>
      <c r="B10" s="2614"/>
      <c r="C10" s="2613" t="s">
        <v>1728</v>
      </c>
      <c r="D10" s="2615" t="s">
        <v>1729</v>
      </c>
      <c r="E10" s="2616">
        <v>2</v>
      </c>
      <c r="F10" s="2617" t="s">
        <v>1730</v>
      </c>
      <c r="G10" s="2617">
        <v>2</v>
      </c>
      <c r="H10" s="2619">
        <f t="shared" si="2"/>
      </c>
      <c r="I10" s="2603"/>
      <c r="K10" s="2612"/>
    </row>
    <row customHeight="true" ht="71" r="11">
      <c r="A11" s="2613"/>
      <c r="B11" s="2614"/>
      <c r="C11" s="2613" t="s">
        <v>1731</v>
      </c>
      <c r="D11" s="2615"/>
      <c r="E11" s="2616">
        <v>2</v>
      </c>
      <c r="F11" s="2617" t="s">
        <v>1717</v>
      </c>
      <c r="G11" s="2618">
        <v>2</v>
      </c>
      <c r="H11" s="2619">
        <f t="shared" si="2"/>
      </c>
      <c r="I11" s="2620"/>
      <c r="K11" s="2612"/>
    </row>
    <row customHeight="true" ht="70" r="12">
      <c r="A12" s="2613"/>
      <c r="B12" s="2614"/>
      <c r="C12" s="2613" t="s">
        <v>1732</v>
      </c>
      <c r="D12" s="2615"/>
      <c r="E12" s="2616">
        <v>2</v>
      </c>
      <c r="F12" s="2617" t="s">
        <v>1730</v>
      </c>
      <c r="G12" s="2617">
        <v>1</v>
      </c>
      <c r="H12" s="2619">
        <f t="shared" si="2"/>
      </c>
      <c r="I12" s="2620"/>
      <c r="K12" s="2612"/>
    </row>
    <row customHeight="true" ht="70" r="13">
      <c r="A13" s="2613"/>
      <c r="B13" s="2614"/>
      <c r="C13" s="2613" t="s">
        <v>1733</v>
      </c>
      <c r="D13" s="2615"/>
      <c r="E13" s="2616">
        <v>2</v>
      </c>
      <c r="F13" s="2617" t="s">
        <v>1717</v>
      </c>
      <c r="G13" s="2618">
        <v>2</v>
      </c>
      <c r="H13" s="2619">
        <f t="shared" si="2"/>
      </c>
      <c r="I13" s="2620"/>
      <c r="K13" s="2612"/>
    </row>
    <row customHeight="true" ht="50" r="14">
      <c r="A14" s="2613"/>
      <c r="B14" s="2614"/>
      <c r="C14" s="2613" t="s">
        <v>1734</v>
      </c>
      <c r="D14" s="2613" t="s">
        <v>1735</v>
      </c>
      <c r="E14" s="2616">
        <v>2</v>
      </c>
      <c r="F14" s="2617" t="s">
        <v>1719</v>
      </c>
      <c r="G14" s="2617">
        <v>1</v>
      </c>
      <c r="H14" s="2619">
        <f t="shared" si="2"/>
      </c>
      <c r="I14" s="2620" t="s">
        <v>1736</v>
      </c>
      <c r="K14" s="2612"/>
    </row>
    <row customHeight="true" ht="50" r="15">
      <c r="A15" s="2613"/>
      <c r="B15" s="2614"/>
      <c r="C15" s="2613" t="s">
        <v>1737</v>
      </c>
      <c r="D15" s="2613"/>
      <c r="E15" s="2616">
        <v>2</v>
      </c>
      <c r="F15" s="2617" t="s">
        <v>1719</v>
      </c>
      <c r="G15" s="2617">
        <v>1</v>
      </c>
      <c r="H15" s="2619">
        <f t="shared" si="2"/>
      </c>
      <c r="I15" s="2620"/>
      <c r="K15" s="2612"/>
    </row>
    <row customHeight="true" ht="50" r="16">
      <c r="A16" s="2613"/>
      <c r="B16" s="2614"/>
      <c r="C16" s="2613" t="s">
        <v>1738</v>
      </c>
      <c r="D16" s="2613"/>
      <c r="E16" s="2616">
        <v>2</v>
      </c>
      <c r="F16" s="2617" t="s">
        <v>1710</v>
      </c>
      <c r="G16" s="2617"/>
      <c r="H16" s="2619">
        <f t="shared" si="2"/>
      </c>
      <c r="I16" s="2620"/>
      <c r="K16" s="2612"/>
    </row>
    <row customHeight="true" ht="50" r="17">
      <c r="A17" s="2613"/>
      <c r="B17" s="2614"/>
      <c r="C17" s="2613" t="s">
        <v>1739</v>
      </c>
      <c r="D17" s="2613"/>
      <c r="E17" s="2616">
        <v>2</v>
      </c>
      <c r="F17" s="2617" t="s">
        <v>1730</v>
      </c>
      <c r="G17" s="2617"/>
      <c r="H17" s="2619">
        <f t="shared" si="2"/>
      </c>
      <c r="I17" s="2620"/>
      <c r="K17" s="2612"/>
    </row>
    <row customHeight="true" ht="50" r="18">
      <c r="A18" s="2613"/>
      <c r="B18" s="2614"/>
      <c r="C18" s="2613" t="s">
        <v>1740</v>
      </c>
      <c r="D18" s="2613"/>
      <c r="E18" s="2616">
        <v>2</v>
      </c>
      <c r="F18" s="2617" t="s">
        <v>1730</v>
      </c>
      <c r="G18" s="2617">
        <v>2</v>
      </c>
      <c r="H18" s="2619">
        <f t="shared" si="2"/>
      </c>
      <c r="I18" s="2603"/>
      <c r="K18" s="2612"/>
    </row>
    <row customHeight="true" ht="56" r="19">
      <c r="A19" s="2613"/>
      <c r="B19" s="2614"/>
      <c r="C19" s="2621" t="s">
        <v>1741</v>
      </c>
      <c r="D19" s="2621" t="s">
        <v>1742</v>
      </c>
      <c r="E19" s="2622">
        <v>4</v>
      </c>
      <c r="F19" s="2623" t="s">
        <v>1717</v>
      </c>
      <c r="G19" s="2624">
        <v>4</v>
      </c>
      <c r="H19" s="2625">
        <f t="shared" si="2"/>
      </c>
      <c r="I19" s="2626"/>
    </row>
    <row customHeight="true" ht="16" r="20">
      <c r="A20" s="2613"/>
      <c r="B20" s="2614"/>
      <c r="C20" s="2627" t="s">
        <v>1743</v>
      </c>
      <c r="D20" s="2627"/>
      <c r="E20" s="2628">
        <f>SUM(E9:E19)</f>
      </c>
      <c r="F20" s="2629"/>
      <c r="G20" s="2630"/>
      <c r="H20" s="2628">
        <f>SUM(H9:H19)</f>
      </c>
      <c r="I20" s="2626"/>
    </row>
    <row customHeight="true" ht="96" r="21">
      <c r="A21" s="2613" t="s">
        <v>1744</v>
      </c>
      <c r="B21" s="2614" t="s">
        <v>1725</v>
      </c>
      <c r="C21" s="2631" t="s">
        <v>1745</v>
      </c>
      <c r="D21" s="2632" t="s">
        <v>1746</v>
      </c>
      <c r="E21" s="2633">
        <v>2</v>
      </c>
      <c r="F21" s="2634" t="s">
        <v>1717</v>
      </c>
      <c r="G21" s="2635">
        <v>2</v>
      </c>
      <c r="H21" s="2636">
        <f t="shared" ref="H21:H28" si="3">E21-G21</f>
      </c>
      <c r="I21" s="2603" t="s">
        <v>1747</v>
      </c>
    </row>
    <row customHeight="true" ht="35" r="22">
      <c r="A22" s="2613"/>
      <c r="B22" s="2614"/>
      <c r="C22" s="2631" t="s">
        <v>1748</v>
      </c>
      <c r="D22" s="2632" t="s">
        <v>1749</v>
      </c>
      <c r="E22" s="2633">
        <v>2</v>
      </c>
      <c r="F22" s="2634" t="s">
        <v>1717</v>
      </c>
      <c r="G22" s="2635">
        <v>1</v>
      </c>
      <c r="H22" s="2636">
        <f t="shared" si="3"/>
      </c>
      <c r="I22" s="2603"/>
    </row>
    <row customHeight="true" ht="44" r="23">
      <c r="A23" s="2613"/>
      <c r="B23" s="2614"/>
      <c r="C23" s="2621" t="s">
        <v>1750</v>
      </c>
      <c r="D23" s="2637" t="s">
        <v>1751</v>
      </c>
      <c r="E23" s="2622">
        <v>2</v>
      </c>
      <c r="F23" s="2623" t="s">
        <v>1717</v>
      </c>
      <c r="G23" s="2638">
        <v>2</v>
      </c>
      <c r="H23" s="2625">
        <f t="shared" si="3"/>
      </c>
      <c r="I23" s="2603"/>
    </row>
    <row customHeight="true" ht="47" r="24">
      <c r="A24" s="2613"/>
      <c r="B24" s="2614"/>
      <c r="C24" s="2639" t="s">
        <v>1752</v>
      </c>
      <c r="D24" s="2640" t="s">
        <v>1753</v>
      </c>
      <c r="E24" s="2641">
        <v>3</v>
      </c>
      <c r="F24" s="2642" t="s">
        <v>1710</v>
      </c>
      <c r="G24" s="2642">
        <v>2</v>
      </c>
      <c r="H24" s="2643">
        <f t="shared" si="3"/>
      </c>
      <c r="I24" s="2603"/>
      <c r="J24" s="2603"/>
    </row>
    <row r="25">
      <c r="A25" s="2613" t="s">
        <v>1754</v>
      </c>
      <c r="B25" s="2644"/>
      <c r="C25" s="2645" t="s">
        <v>1755</v>
      </c>
      <c r="D25" s="2646" t="s">
        <v>1756</v>
      </c>
      <c r="E25" s="2605">
        <v>3</v>
      </c>
      <c r="F25" s="2606" t="s">
        <v>1710</v>
      </c>
      <c r="G25" s="2606"/>
      <c r="H25" s="2607">
        <f t="shared" si="3"/>
      </c>
      <c r="I25" s="2647" t="s">
        <v>1757</v>
      </c>
    </row>
    <row customHeight="true" ht="57" r="26">
      <c r="A26" s="2613"/>
      <c r="B26" s="2644"/>
      <c r="C26" s="2648" t="s">
        <v>1758</v>
      </c>
      <c r="D26" s="2649" t="s">
        <v>1759</v>
      </c>
      <c r="E26" s="2616">
        <v>2</v>
      </c>
      <c r="F26" s="2617" t="s">
        <v>1717</v>
      </c>
      <c r="G26" s="2618">
        <v>2</v>
      </c>
      <c r="H26" s="2616">
        <f t="shared" si="3"/>
      </c>
      <c r="I26" s="2647"/>
    </row>
    <row customHeight="true" ht="53" r="27">
      <c r="A27" s="2613"/>
      <c r="B27" s="2644"/>
      <c r="C27" s="2648" t="s">
        <v>1760</v>
      </c>
      <c r="D27" s="2649" t="s">
        <v>1761</v>
      </c>
      <c r="E27" s="2616">
        <v>3</v>
      </c>
      <c r="F27" s="2617" t="s">
        <v>1719</v>
      </c>
      <c r="G27" s="2617">
        <v>3</v>
      </c>
      <c r="H27" s="2616">
        <f t="shared" si="3"/>
      </c>
      <c r="I27" s="2647"/>
    </row>
    <row customHeight="true" ht="65" r="28">
      <c r="A28" s="2613"/>
      <c r="B28" s="2644"/>
      <c r="C28" s="2648" t="s">
        <v>1762</v>
      </c>
      <c r="D28" s="2649" t="s">
        <v>1763</v>
      </c>
      <c r="E28" s="2616">
        <v>2</v>
      </c>
      <c r="F28" s="2617" t="s">
        <v>1730</v>
      </c>
      <c r="G28" s="2617">
        <v>2</v>
      </c>
      <c r="H28" s="2616">
        <f t="shared" si="3"/>
      </c>
      <c r="I28" s="2647"/>
    </row>
    <row customHeight="true" hidden="true" ht="30" r="29">
      <c r="A29" s="2613"/>
      <c r="B29" s="2614"/>
      <c r="C29" s="2621"/>
      <c r="D29" s="2621"/>
      <c r="E29" s="2622"/>
      <c r="F29" s="2623"/>
      <c r="G29" s="2623"/>
      <c r="H29" s="2625"/>
      <c r="I29" s="2626"/>
    </row>
    <row customHeight="true" hidden="true" ht="30" r="30">
      <c r="A30" s="2613"/>
      <c r="B30" s="2614"/>
      <c r="C30" s="2650"/>
      <c r="D30" s="2650"/>
      <c r="E30" s="2651"/>
      <c r="F30" s="2652"/>
      <c r="G30" s="2652"/>
      <c r="H30" s="2653"/>
      <c r="I30" s="2626"/>
    </row>
    <row customHeight="true" hidden="true" ht="26" r="31">
      <c r="A31" s="2613"/>
      <c r="B31" s="2614"/>
      <c r="C31" s="2650"/>
      <c r="D31" s="2650"/>
      <c r="E31" s="2651"/>
      <c r="F31" s="2652"/>
      <c r="G31" s="2652"/>
      <c r="H31" s="2653"/>
      <c r="I31" s="2626"/>
    </row>
    <row customHeight="true" ht="16" r="32">
      <c r="A32" s="2613"/>
      <c r="B32" s="2614"/>
      <c r="C32" s="2627" t="s">
        <v>1743</v>
      </c>
      <c r="D32" s="2627"/>
      <c r="E32" s="2628">
        <f>SUM(E21:E28)</f>
      </c>
      <c r="F32" s="2629"/>
      <c r="G32" s="2630"/>
      <c r="H32" s="2628">
        <f>SUM(H21:H28)</f>
      </c>
      <c r="I32" s="2626"/>
    </row>
    <row customHeight="true" hidden="true" ht="76" r="33">
      <c r="A33" s="2613"/>
      <c r="B33" s="2597"/>
      <c r="C33" s="2654"/>
      <c r="D33" s="2655"/>
      <c r="E33" s="2656"/>
      <c r="F33" s="2657" t="s">
        <v>1710</v>
      </c>
      <c r="G33" s="2657"/>
      <c r="H33" s="2658">
        <f t="shared" ref="H33:H37" si="4">E33-G33</f>
      </c>
      <c r="I33" s="2647"/>
      <c r="J33" s="2626"/>
    </row>
    <row customHeight="true" hidden="true" ht="84" r="34">
      <c r="A34" s="2613"/>
      <c r="B34" s="2597"/>
      <c r="C34" s="2596"/>
      <c r="D34" s="2659"/>
      <c r="E34" s="2605"/>
      <c r="F34" s="2606" t="s">
        <v>1710</v>
      </c>
      <c r="G34" s="2606"/>
      <c r="H34" s="2660">
        <f t="shared" si="4"/>
      </c>
      <c r="I34" s="2647"/>
      <c r="J34" s="2626"/>
    </row>
    <row customHeight="true" hidden="true" ht="56" r="35">
      <c r="A35" s="2613"/>
      <c r="B35" s="2597"/>
      <c r="C35" s="2621"/>
      <c r="D35" s="2661"/>
      <c r="E35" s="2622"/>
      <c r="F35" s="2623" t="s">
        <v>1710</v>
      </c>
      <c r="G35" s="2623"/>
      <c r="H35" s="2662">
        <f t="shared" si="4"/>
      </c>
      <c r="I35" s="2603"/>
      <c r="J35" s="2603"/>
    </row>
    <row customHeight="true" hidden="true" ht="53" r="36">
      <c r="A36" s="2613"/>
      <c r="B36" s="2597"/>
      <c r="C36" s="2663"/>
      <c r="D36" s="2664"/>
      <c r="E36" s="2665"/>
      <c r="F36" s="2666" t="s">
        <v>1710</v>
      </c>
      <c r="G36" s="2666"/>
      <c r="H36" s="2667">
        <f t="shared" si="4"/>
      </c>
      <c r="I36" s="2603"/>
      <c r="J36" s="2626"/>
    </row>
    <row customHeight="true" hidden="true" ht="57" r="37">
      <c r="A37" s="2613"/>
      <c r="B37" s="2597"/>
      <c r="C37" s="2650"/>
      <c r="D37" s="2668"/>
      <c r="E37" s="2651"/>
      <c r="F37" s="2652" t="s">
        <v>1710</v>
      </c>
      <c r="G37" s="2652"/>
      <c r="H37" s="2669">
        <f t="shared" si="4"/>
      </c>
      <c r="I37" s="2603"/>
      <c r="J37" s="2603" t="s">
        <v>1764</v>
      </c>
    </row>
    <row customHeight="true" hidden="true" ht="57" r="38">
      <c r="A38" s="2613"/>
      <c r="B38" s="2597"/>
      <c r="C38" s="2650"/>
      <c r="D38" s="2668"/>
      <c r="E38" s="2651"/>
      <c r="F38" s="2652" t="s">
        <v>1710</v>
      </c>
      <c r="G38" s="2652"/>
      <c r="H38" s="2669"/>
      <c r="I38" s="2603"/>
      <c r="J38" s="2603"/>
    </row>
    <row customHeight="true" hidden="true" ht="102" r="39">
      <c r="A39" s="2613"/>
      <c r="B39" s="2597" t="s">
        <v>1765</v>
      </c>
      <c r="C39" s="2631"/>
      <c r="D39" s="2670"/>
      <c r="E39" s="2633"/>
      <c r="F39" s="2634" t="s">
        <v>1730</v>
      </c>
      <c r="G39" s="2634"/>
      <c r="H39" s="2671">
        <f t="shared" ref="H39:H49" si="5">E39-G39</f>
      </c>
      <c r="I39" s="2603"/>
      <c r="J39" s="2603"/>
    </row>
    <row customHeight="true" hidden="true" ht="55" r="40">
      <c r="A40" s="2613"/>
      <c r="B40" s="2597"/>
      <c r="C40" s="2598"/>
      <c r="D40" s="2672"/>
      <c r="E40" s="2600"/>
      <c r="F40" s="2601" t="s">
        <v>1730</v>
      </c>
      <c r="G40" s="2601"/>
      <c r="H40" s="2673">
        <f t="shared" si="5"/>
      </c>
      <c r="I40" s="2674"/>
      <c r="J40" s="2603"/>
    </row>
    <row customHeight="true" hidden="true" ht="49" r="41">
      <c r="A41" s="2613"/>
      <c r="B41" s="2597"/>
      <c r="C41" s="2675"/>
      <c r="D41" s="2676"/>
      <c r="E41" s="2677"/>
      <c r="F41" s="2678" t="s">
        <v>1717</v>
      </c>
      <c r="G41" s="2678"/>
      <c r="H41" s="2679">
        <f t="shared" si="5"/>
      </c>
      <c r="I41" s="2603"/>
      <c r="J41" s="2603"/>
    </row>
    <row customHeight="true" hidden="true" ht="57" r="42">
      <c r="A42" s="2613"/>
      <c r="B42" s="2597"/>
      <c r="C42" s="2613"/>
      <c r="D42" s="2615"/>
      <c r="E42" s="2680"/>
      <c r="F42" s="2681" t="s">
        <v>1717</v>
      </c>
      <c r="G42" s="2681"/>
      <c r="H42" s="2680">
        <f t="shared" si="5"/>
      </c>
      <c r="I42" s="2603"/>
      <c r="J42" s="2626"/>
    </row>
    <row customHeight="true" hidden="true" ht="16" r="43">
      <c r="A43" s="2613"/>
      <c r="B43" s="2597"/>
      <c r="C43" s="2613"/>
      <c r="D43" s="2615"/>
      <c r="E43" s="2682"/>
      <c r="F43" s="2683" t="s">
        <v>1766</v>
      </c>
      <c r="G43" s="2683"/>
      <c r="H43" s="2660">
        <f t="shared" si="5"/>
      </c>
      <c r="I43" s="2603"/>
      <c r="J43" s="2626"/>
    </row>
    <row customHeight="true" hidden="true" ht="16" r="44">
      <c r="A44" s="2613"/>
      <c r="B44" s="2597"/>
      <c r="C44" s="2684"/>
      <c r="D44" s="2685"/>
      <c r="E44" s="2686"/>
      <c r="F44" s="2687"/>
      <c r="G44" s="2687"/>
      <c r="H44" s="2662">
        <f t="shared" si="5"/>
      </c>
      <c r="I44" s="2626"/>
      <c r="J44" s="2626"/>
    </row>
    <row customHeight="true" hidden="true" ht="31" r="45">
      <c r="A45" s="2613"/>
      <c r="B45" s="2597"/>
      <c r="C45" s="2688"/>
      <c r="D45" s="2689"/>
      <c r="E45" s="2690"/>
      <c r="F45" s="2691"/>
      <c r="G45" s="2691"/>
      <c r="H45" s="2667">
        <f t="shared" si="5"/>
      </c>
      <c r="I45" s="2603"/>
      <c r="J45" s="2626"/>
    </row>
    <row customHeight="true" hidden="true" ht="31" r="46">
      <c r="A46" s="2613"/>
      <c r="B46" s="2597"/>
      <c r="C46" s="2692"/>
      <c r="D46" s="2693"/>
      <c r="E46" s="2694"/>
      <c r="F46" s="2695"/>
      <c r="G46" s="2695"/>
      <c r="H46" s="2669">
        <f t="shared" si="5"/>
      </c>
      <c r="I46" s="2603"/>
      <c r="J46" s="2626"/>
    </row>
    <row customHeight="true" hidden="true" ht="31" r="47">
      <c r="A47" s="2613"/>
      <c r="B47" s="2597"/>
      <c r="C47" s="2696"/>
      <c r="D47" s="2697"/>
      <c r="E47" s="2698"/>
      <c r="F47" s="2699"/>
      <c r="G47" s="2699"/>
      <c r="H47" s="2671">
        <f t="shared" si="5"/>
      </c>
      <c r="I47" s="2603"/>
      <c r="J47" s="2626"/>
    </row>
    <row customHeight="true" hidden="true" ht="56" r="48">
      <c r="A48" s="2613"/>
      <c r="B48" s="2597"/>
      <c r="C48" s="2700"/>
      <c r="D48" s="2701"/>
      <c r="E48" s="2702"/>
      <c r="F48" s="2703"/>
      <c r="G48" s="2703"/>
      <c r="H48" s="2679">
        <f t="shared" si="5"/>
      </c>
      <c r="I48" s="2603"/>
      <c r="J48" s="2626"/>
    </row>
    <row customHeight="true" hidden="true" ht="31" r="49">
      <c r="A49" s="2613"/>
      <c r="B49" s="2597"/>
      <c r="C49" s="2704"/>
      <c r="D49" s="2705"/>
      <c r="E49" s="2680"/>
      <c r="F49" s="2681"/>
      <c r="G49" s="2681"/>
      <c r="H49" s="2706">
        <f t="shared" si="5"/>
      </c>
      <c r="I49" s="2626"/>
      <c r="J49" s="2626"/>
    </row>
    <row customHeight="true" hidden="true" ht="15" r="50">
      <c r="A50" s="2613"/>
      <c r="B50" s="2597"/>
      <c r="C50" s="2707" t="s">
        <v>1743</v>
      </c>
      <c r="D50" s="2707"/>
      <c r="E50" s="2708">
        <f>SUM(E33:E49)</f>
      </c>
      <c r="F50" s="2709"/>
      <c r="G50" s="2710"/>
      <c r="H50" s="2708">
        <f>SUM(H33:H42)</f>
      </c>
      <c r="I50" s="2626"/>
      <c r="J50" s="2626"/>
    </row>
    <row customHeight="true" hidden="true" ht="78" r="51">
      <c r="A51" s="2613"/>
      <c r="B51" s="2614"/>
      <c r="C51" s="2711"/>
      <c r="D51" s="2640"/>
      <c r="E51" s="2641"/>
      <c r="F51" s="2642"/>
      <c r="G51" s="2642"/>
      <c r="H51" s="2643">
        <f t="shared" ref="H51:H55" si="6">E51-G51</f>
      </c>
      <c r="I51" s="2603"/>
    </row>
    <row customHeight="true" hidden="true" ht="79" r="52">
      <c r="A52" s="2613"/>
      <c r="B52" s="2614"/>
      <c r="C52" s="2712"/>
      <c r="D52" s="2713"/>
      <c r="E52" s="2702"/>
      <c r="F52" s="2703"/>
      <c r="G52" s="2703"/>
      <c r="H52" s="2679">
        <f t="shared" si="6"/>
      </c>
      <c r="I52" s="2603"/>
    </row>
    <row customHeight="true" hidden="true" ht="99" r="53">
      <c r="A53" s="2613"/>
      <c r="B53" s="2614"/>
      <c r="C53" s="2714"/>
      <c r="D53" s="2615"/>
      <c r="E53" s="2680"/>
      <c r="F53" s="2681"/>
      <c r="G53" s="2681"/>
      <c r="H53" s="2706">
        <f t="shared" si="6"/>
      </c>
      <c r="I53" s="2603"/>
    </row>
    <row customHeight="true" hidden="true" ht="60" r="54">
      <c r="A54" s="2613"/>
      <c r="B54" s="2614"/>
      <c r="C54" s="2715"/>
      <c r="D54" s="2716"/>
      <c r="E54" s="2682"/>
      <c r="F54" s="2683"/>
      <c r="G54" s="2683"/>
      <c r="H54" s="2660">
        <f t="shared" si="6"/>
      </c>
      <c r="I54" s="2603"/>
    </row>
    <row customHeight="true" hidden="true" ht="54" r="55">
      <c r="A55" s="2613"/>
      <c r="B55" s="2614"/>
      <c r="C55" s="2684"/>
      <c r="D55" s="2685"/>
      <c r="E55" s="2686"/>
      <c r="F55" s="2687"/>
      <c r="G55" s="2687"/>
      <c r="H55" s="2662">
        <f t="shared" si="6"/>
      </c>
      <c r="I55" s="2603" t="s">
        <v>1767</v>
      </c>
    </row>
    <row customHeight="true" hidden="true" ht="13" r="56">
      <c r="A56" s="2613"/>
      <c r="B56" s="2614"/>
      <c r="C56" s="2707" t="s">
        <v>1743</v>
      </c>
      <c r="D56" s="2707"/>
      <c r="E56" s="2708">
        <f>SUM(E51:E55)</f>
      </c>
      <c r="F56" s="2709"/>
      <c r="G56" s="2710"/>
      <c r="H56" s="2708">
        <f>SUM(H51:H55)</f>
      </c>
      <c r="I56" s="2626"/>
    </row>
    <row customHeight="true" hidden="true" ht="16" r="57">
      <c r="A57" s="2609" t="s">
        <v>1723</v>
      </c>
      <c r="B57" s="2609"/>
      <c r="C57" s="2609"/>
      <c r="D57" s="2609"/>
      <c r="E57" s="2610">
        <f>SUM(E20,E32,E50,E56)</f>
      </c>
      <c r="F57" s="2611"/>
      <c r="G57" s="2717"/>
      <c r="H57" s="2610">
        <f>SUM(H20,H32,H50,H56)</f>
      </c>
      <c r="I57" s="2626"/>
      <c r="J57" s="2603"/>
    </row>
    <row customHeight="true" hidden="true" ht="185" r="58">
      <c r="A58" s="2631"/>
      <c r="B58" s="2614"/>
      <c r="C58" s="2676"/>
      <c r="D58" s="2661"/>
      <c r="E58" s="2622"/>
      <c r="F58" s="2623"/>
      <c r="G58" s="2623"/>
      <c r="H58" s="2662">
        <f>E58-G58</f>
      </c>
      <c r="I58" s="2620" t="s">
        <v>1768</v>
      </c>
      <c r="J58" s="2647"/>
    </row>
    <row customHeight="true" hidden="true" ht="43" r="59">
      <c r="A59" s="2631"/>
      <c r="B59" s="2614"/>
      <c r="C59" s="2675"/>
      <c r="D59" s="2661"/>
      <c r="E59" s="2622"/>
      <c r="F59" s="2623"/>
      <c r="G59" s="2623"/>
      <c r="H59" s="2662"/>
      <c r="I59" s="2620"/>
    </row>
    <row customHeight="true" hidden="true" ht="41" r="60">
      <c r="A60" s="2631"/>
      <c r="B60" s="2614"/>
      <c r="C60" s="2675"/>
      <c r="D60" s="2661"/>
      <c r="E60" s="2622"/>
      <c r="F60" s="2687"/>
      <c r="G60" s="2687"/>
      <c r="H60" s="2662">
        <f t="shared" ref="H60:H63" si="7">E60-G60</f>
      </c>
      <c r="I60" s="2620"/>
    </row>
    <row customHeight="true" hidden="true" ht="41" r="61">
      <c r="A61" s="2631"/>
      <c r="B61" s="2614"/>
      <c r="C61" s="2675"/>
      <c r="D61" s="2661"/>
      <c r="E61" s="2622"/>
      <c r="F61" s="2699"/>
      <c r="G61" s="2699"/>
      <c r="H61" s="2671">
        <f t="shared" si="7"/>
      </c>
      <c r="I61" s="2620"/>
      <c r="J61" s="2603"/>
    </row>
    <row customHeight="true" hidden="true" ht="41" r="62">
      <c r="A62" s="2631"/>
      <c r="B62" s="2614"/>
      <c r="C62" s="2675"/>
      <c r="D62" s="2661"/>
      <c r="E62" s="2622"/>
      <c r="F62" s="2718"/>
      <c r="G62" s="2718"/>
      <c r="H62" s="2658">
        <f t="shared" si="7"/>
      </c>
      <c r="I62" s="2620"/>
      <c r="J62" s="2603"/>
    </row>
    <row customHeight="true" hidden="true" ht="41" r="63">
      <c r="A63" s="2631"/>
      <c r="B63" s="2614"/>
      <c r="C63" s="2675"/>
      <c r="D63" s="2661"/>
      <c r="E63" s="2622"/>
      <c r="F63" s="2703"/>
      <c r="G63" s="2703"/>
      <c r="H63" s="2679">
        <f t="shared" si="7"/>
      </c>
      <c r="I63" s="2620"/>
      <c r="J63" s="2603"/>
    </row>
    <row customHeight="true" hidden="true" ht="16" r="64">
      <c r="A64" s="2631"/>
      <c r="B64" s="2614"/>
      <c r="C64" s="2707" t="s">
        <v>1743</v>
      </c>
      <c r="D64" s="2707"/>
      <c r="E64" s="2708">
        <f>SUM(E58:E63)</f>
      </c>
      <c r="F64" s="2709"/>
      <c r="G64" s="2710"/>
      <c r="H64" s="2708">
        <f>SUM(H58:H63)</f>
      </c>
    </row>
    <row customHeight="true" hidden="true" ht="16" r="65">
      <c r="A65" s="2609" t="s">
        <v>1723</v>
      </c>
      <c r="B65" s="2609"/>
      <c r="C65" s="2609"/>
      <c r="D65" s="2609"/>
      <c r="E65" s="2610">
        <f>SUM(E64)</f>
      </c>
      <c r="F65" s="2611"/>
      <c r="G65" s="2717"/>
      <c r="H65" s="2610">
        <f>SUM(H64)</f>
      </c>
      <c r="I65" s="2626"/>
    </row>
    <row customHeight="true" ht="100" r="66">
      <c r="A66" s="2650" t="s">
        <v>1769</v>
      </c>
      <c r="B66" s="2614" t="s">
        <v>1765</v>
      </c>
      <c r="C66" s="2650" t="s">
        <v>1770</v>
      </c>
      <c r="D66" s="2668" t="s">
        <v>1771</v>
      </c>
      <c r="E66" s="2651"/>
      <c r="F66" s="2652"/>
      <c r="G66" s="2652"/>
      <c r="H66" s="2669">
        <f>E66-G66</f>
      </c>
      <c r="I66" s="2626"/>
      <c r="J66" s="2626"/>
    </row>
    <row customHeight="true" ht="17" r="67">
      <c r="A67" s="2609" t="s">
        <v>1723</v>
      </c>
      <c r="B67" s="2609"/>
      <c r="C67" s="2609"/>
      <c r="D67" s="2609"/>
      <c r="E67" s="2610">
        <f>SUM(E66)</f>
      </c>
      <c r="F67" s="2611"/>
      <c r="G67" s="2717"/>
      <c r="H67" s="2610">
        <f>SUM(H66)</f>
      </c>
      <c r="I67" s="2626"/>
      <c r="J67" s="2626"/>
    </row>
    <row customHeight="true" ht="16" r="68">
      <c r="A68" s="2610" t="s">
        <v>1743</v>
      </c>
      <c r="B68" s="2610"/>
      <c r="C68" s="2610"/>
      <c r="D68" s="2610"/>
      <c r="E68" s="2610">
        <f>SUM(E8,E20,E32)</f>
      </c>
      <c r="F68" s="2611"/>
      <c r="G68" s="2719"/>
      <c r="H68" s="2610">
        <f>SUM(H8,H57,H65,H67)</f>
      </c>
      <c r="I68" s="2603"/>
      <c r="J68" s="2626"/>
    </row>
    <row customHeight="true" ht="16" r="69">
      <c r="B69" s="2626"/>
      <c r="C69" s="2626"/>
      <c r="D69" s="2626"/>
      <c r="E69" s="2626"/>
      <c r="F69" s="2603"/>
      <c r="G69" s="2603"/>
      <c r="H69" s="2603"/>
      <c r="I69" s="2626"/>
      <c r="J69" s="2626"/>
    </row>
    <row customHeight="true" ht="16" r="70">
      <c r="B70" s="2626"/>
      <c r="C70" s="2626"/>
      <c r="D70" s="2626"/>
      <c r="E70" s="2626"/>
      <c r="F70" s="2603"/>
      <c r="G70" s="2603"/>
      <c r="H70" s="2603"/>
      <c r="I70" s="2626"/>
      <c r="J70" s="2603"/>
      <c r="K70" s="2603"/>
      <c r="L70" s="2603"/>
      <c r="M70" s="2603"/>
      <c r="N70" s="2603"/>
      <c r="O70" s="2603"/>
      <c r="P70" s="2603"/>
    </row>
    <row r="71">
      <c r="D71" s="2626"/>
      <c r="E71" s="2630" t="s">
        <v>1772</v>
      </c>
      <c r="F71" s="2720" t="s">
        <v>1701</v>
      </c>
      <c r="G71" s="2720" t="s">
        <v>1773</v>
      </c>
      <c r="H71" s="2720" t="s">
        <v>1704</v>
      </c>
      <c r="I71" s="2603"/>
      <c r="J71" s="2603"/>
      <c r="M71" s="2603"/>
    </row>
    <row r="72">
      <c r="D72" s="2626"/>
      <c r="E72" s="2721" t="s">
        <v>1774</v>
      </c>
      <c r="F72" s="2722">
        <f>SUMIF(F2:F68,"Huyền",E2:E68)</f>
      </c>
      <c r="G72" s="2722">
        <f>SUMIF(F2:F68,"Huyền",G2:G68)</f>
      </c>
      <c r="H72" s="2722">
        <f t="shared" ref="H72:H79" si="1">F72-G72</f>
      </c>
      <c r="I72" s="2603"/>
      <c r="J72" s="2603"/>
    </row>
    <row r="73">
      <c r="D73" s="2603"/>
      <c r="E73" s="2720" t="s">
        <v>1710</v>
      </c>
      <c r="F73" s="2630">
        <f>SUMIF(F2:F68,"Hoa",E2:E68)</f>
      </c>
      <c r="G73" s="2722">
        <f>SUMIF(F2:F68,"Hoa",G2:G68)</f>
      </c>
      <c r="H73" s="2630">
        <f t="shared" si="1"/>
      </c>
      <c r="I73" s="2603"/>
      <c r="J73" s="2603"/>
      <c r="K73" s="2603" t="s">
        <v>1775</v>
      </c>
      <c r="L73" s="2603" t="s">
        <v>1776</v>
      </c>
      <c r="M73" s="2603" t="s">
        <v>1777</v>
      </c>
      <c r="N73" s="2603" t="s">
        <v>1778</v>
      </c>
      <c r="O73" s="2603" t="s">
        <v>1779</v>
      </c>
      <c r="P73" s="2603" t="s">
        <v>1780</v>
      </c>
      <c r="Q73" s="2603" t="s">
        <v>1710</v>
      </c>
      <c r="R73" s="2603" t="s">
        <v>1717</v>
      </c>
      <c r="S73" s="2603" t="s">
        <v>1781</v>
      </c>
      <c r="T73" s="2603" t="s">
        <v>1782</v>
      </c>
      <c r="U73" s="2603"/>
      <c r="V73" s="2603"/>
    </row>
    <row r="74">
      <c r="D74" s="2603"/>
      <c r="E74" s="2630" t="s">
        <v>1719</v>
      </c>
      <c r="F74" s="2710">
        <f>SUMIF(F2:F68,"Thúy",E2:E68)</f>
      </c>
      <c r="G74" s="2722">
        <f>SUMIF(F2:F68,"Thúy",G2:G68)</f>
      </c>
      <c r="H74" s="2630">
        <f t="shared" si="1"/>
      </c>
      <c r="I74" s="2603"/>
      <c r="J74" s="2603" t="s">
        <v>1783</v>
      </c>
      <c r="K74" s="2603">
        <v>10</v>
      </c>
      <c r="L74" s="2603">
        <v>25</v>
      </c>
      <c r="M74" s="2603">
        <v>5</v>
      </c>
      <c r="N74" s="2603"/>
      <c r="O74" s="2603">
        <v>10</v>
      </c>
      <c r="P74" s="2603"/>
      <c r="S74" s="2603"/>
      <c r="T74">
        <f t="shared" ref="T74:T79" si="0">SUM(K74:S74)</f>
      </c>
    </row>
    <row r="75">
      <c r="D75" s="2603"/>
      <c r="E75" s="2720" t="s">
        <v>1730</v>
      </c>
      <c r="F75" s="2723">
        <f>SUMIF(F2:F68,"Ngân",E2:E68)</f>
      </c>
      <c r="G75" s="2722">
        <f>SUMIF(F2:F68,"Ngân",G2:G68)</f>
      </c>
      <c r="H75" s="2724">
        <f t="shared" si="1"/>
      </c>
      <c r="I75" s="2603"/>
      <c r="J75" s="2603" t="s">
        <v>1784</v>
      </c>
      <c r="L75" s="2603"/>
      <c r="O75" s="2603">
        <v>15</v>
      </c>
      <c r="P75" s="2603"/>
      <c r="S75" s="2603">
        <v>25</v>
      </c>
      <c r="T75">
        <f t="shared" si="0"/>
      </c>
    </row>
    <row customHeight="true" ht="16" r="76">
      <c r="D76" s="2626"/>
      <c r="E76" s="2725" t="s">
        <v>1766</v>
      </c>
      <c r="F76" s="2726">
        <f>SUMIF(F2:F68,"Bích",E2:E68)</f>
      </c>
      <c r="G76" s="2722">
        <f>SUMIF(F2:F68,"Bích",G2:G68)</f>
      </c>
      <c r="H76" s="2727">
        <f t="shared" si="1"/>
      </c>
      <c r="I76" s="2603"/>
      <c r="J76" s="2603" t="s">
        <v>1785</v>
      </c>
      <c r="M76" s="2603">
        <v>20</v>
      </c>
      <c r="P76" s="2603"/>
      <c r="Q76" s="2603"/>
      <c r="T76">
        <f t="shared" si="0"/>
      </c>
    </row>
    <row customHeight="true" ht="16" r="77">
      <c r="D77" s="2626"/>
      <c r="E77" s="2728" t="s">
        <v>1717</v>
      </c>
      <c r="F77" s="2729">
        <f>SUMIF(F3:F68,"Phương",E3:E68)</f>
      </c>
      <c r="G77" s="2722">
        <f>SUMIF(F2:F68,"Phương",G2:G68)</f>
      </c>
      <c r="H77" s="2730">
        <f t="shared" si="1"/>
      </c>
      <c r="I77" s="2603"/>
      <c r="J77" s="2603" t="s">
        <v>1786</v>
      </c>
      <c r="K77" s="2603">
        <v>15</v>
      </c>
      <c r="L77" s="2603"/>
      <c r="T77">
        <f t="shared" si="0"/>
      </c>
    </row>
    <row r="78">
      <c r="D78" s="2626"/>
      <c r="E78" s="2728" t="s">
        <v>1779</v>
      </c>
      <c r="F78" s="2729">
        <f>SUMIF(F3:F69,"Mai",E3:E69)</f>
      </c>
      <c r="G78" s="2722">
        <f>SUMIF(F2:F68,"Mai",G2:G68)</f>
      </c>
      <c r="H78" s="2730">
        <f t="shared" si="1"/>
      </c>
      <c r="I78" s="2603"/>
      <c r="J78" s="2603" t="s">
        <v>1787</v>
      </c>
      <c r="M78" s="2603"/>
      <c r="O78" s="2603"/>
      <c r="P78" s="2603">
        <v>20</v>
      </c>
      <c r="Q78" s="2603">
        <v>20</v>
      </c>
      <c r="R78" s="2603">
        <v>20</v>
      </c>
      <c r="S78" s="2603"/>
      <c r="T78">
        <f t="shared" si="0"/>
      </c>
    </row>
    <row r="79">
      <c r="D79" s="2603"/>
      <c r="E79" s="2731" t="s">
        <v>1743</v>
      </c>
      <c r="F79" s="2732">
        <f>SUM(F72:F78)</f>
      </c>
      <c r="G79" s="2722">
        <f>SUM(G72:G78)</f>
      </c>
      <c r="H79" s="2732">
        <f t="shared" si="1"/>
      </c>
      <c r="I79" s="2603"/>
      <c r="J79" s="2603" t="s">
        <v>1723</v>
      </c>
      <c r="K79">
        <f>SUM(K74:K78)</f>
      </c>
      <c r="L79">
        <f>SUM(L74:L78)</f>
      </c>
      <c r="M79">
        <f>SUM(M74:M78)</f>
      </c>
      <c r="N79">
        <f>SUM(N74:N78)</f>
      </c>
      <c r="O79">
        <f>SUM(O74:O78)</f>
      </c>
      <c r="P79">
        <f>SUM(P74:P78)</f>
      </c>
      <c r="Q79">
        <f>SUM(Q74:Q78)</f>
      </c>
      <c r="R79">
        <f>SUM(R74:R78)</f>
      </c>
      <c r="S79">
        <f>SUM(S74:S78)</f>
      </c>
      <c r="T79">
        <f t="shared" si="0"/>
      </c>
    </row>
    <row r="80">
      <c r="F80" s="2626"/>
      <c r="G80" s="2626"/>
      <c r="H80" s="2626"/>
      <c r="I80" s="2603"/>
      <c r="L80" s="2603"/>
      <c r="N80" s="2603"/>
    </row>
    <row r="81">
      <c r="J81" s="2603"/>
      <c r="K81" s="2603"/>
      <c r="L81" s="2603"/>
      <c r="M81" s="2603"/>
      <c r="N81" s="2603"/>
      <c r="O81" s="2603"/>
      <c r="P81" s="2603"/>
      <c r="Q81" s="2603"/>
      <c r="R81" s="2603"/>
      <c r="S81" s="2603"/>
      <c r="T81" s="2603"/>
    </row>
    <row r="82">
      <c r="J82" s="2603"/>
      <c r="K82" s="2603"/>
      <c r="L82" s="2603"/>
      <c r="M82" s="2603"/>
      <c r="N82" s="2603"/>
      <c r="O82" s="2603"/>
      <c r="P82" s="2603"/>
    </row>
    <row r="83">
      <c r="J83" s="2603"/>
      <c r="L83" s="2603"/>
      <c r="N83" s="2603"/>
      <c r="O83" s="2603"/>
      <c r="P83" s="2603"/>
      <c r="S83" s="2603"/>
    </row>
    <row r="84">
      <c r="J84" s="2603"/>
      <c r="M84" s="2603"/>
      <c r="Q84" s="2603"/>
    </row>
    <row r="85">
      <c r="J85" s="2603"/>
      <c r="K85" s="2603"/>
      <c r="L85" s="2603"/>
    </row>
    <row r="86">
      <c r="J86" s="2603"/>
      <c r="M86" s="2603"/>
      <c r="O86" s="2603"/>
      <c r="P86" s="2603"/>
      <c r="Q86" s="2603"/>
      <c r="R86" s="2603"/>
      <c r="S86" s="2603"/>
    </row>
    <row r="87">
      <c r="J87" s="2603"/>
    </row>
  </sheetData>
  <mergeCells>
    <mergeCell ref="A9:A19"/>
    <mergeCell ref="I25:I28"/>
    <mergeCell ref="A25:A28"/>
    <mergeCell ref="B25:B28"/>
    <mergeCell ref="C32:D32"/>
    <mergeCell ref="B39:B40"/>
    <mergeCell ref="A57:D57"/>
    <mergeCell ref="C56:D56"/>
    <mergeCell ref="C50:D50"/>
    <mergeCell ref="C64:D64"/>
    <mergeCell ref="A65:D65"/>
    <mergeCell ref="A67:D67"/>
    <mergeCell ref="A68:D68"/>
    <mergeCell ref="I58:I63"/>
    <mergeCell ref="D14:D18"/>
    <mergeCell ref="B21:B24"/>
    <mergeCell ref="B9:B18"/>
    <mergeCell ref="A21:A24"/>
    <mergeCell ref="C20:D20"/>
    <mergeCell ref="D10:D13"/>
    <mergeCell ref="B3:B7"/>
    <mergeCell ref="A8:D8"/>
    <mergeCell ref="A3:A7"/>
  </mergeCells>
  <picture r:id="rId1"/>
</worksheet>
</file>

<file path=xl/worksheets/sheet2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4" min="4" style="0" width="29"/>
    <col collapsed="false" customWidth="true" hidden="false" max="8" min="8" style="0" width="11"/>
    <col collapsed="false" customWidth="true" hidden="false" max="12" min="12" style="0" width="7"/>
    <col collapsed="false" customWidth="true" hidden="false" max="16" min="16" style="0" width="6"/>
    <col collapsed="false" customWidth="true" hidden="false" max="19" min="19" style="0" width="10"/>
    <col collapsed="false" customWidth="true" hidden="false" max="1" min="1" style="0" width="22"/>
    <col collapsed="false" customWidth="true" hidden="false" max="5" min="5" style="0" width="11"/>
    <col collapsed="false" customWidth="true" hidden="false" max="9" min="9" style="0" width="18"/>
    <col collapsed="false" customWidth="true" hidden="false" max="13" min="13" style="0" width="7"/>
    <col collapsed="false" customWidth="true" hidden="false" max="2" min="2" style="0" width="22"/>
    <col collapsed="false" customWidth="true" hidden="false" max="6" min="6" style="0" width="11"/>
    <col collapsed="false" customWidth="true" hidden="false" max="10" min="10" style="0" width="5"/>
    <col collapsed="false" customWidth="true" hidden="false" max="14" min="14" style="0" width="7"/>
    <col collapsed="false" customWidth="true" hidden="false" max="17" min="17" style="0" width="6"/>
    <col collapsed="false" customWidth="true" hidden="false" max="21" min="21" style="0" width="11"/>
    <col collapsed="false" customWidth="true" hidden="false" max="3" min="3" style="0" width="22"/>
    <col collapsed="false" customWidth="true" hidden="false" max="7" min="7" style="0" width="11"/>
    <col collapsed="false" customWidth="true" hidden="false" max="11" min="11" style="0" width="8"/>
    <col collapsed="false" customWidth="true" hidden="false" max="15" min="15" style="0" width="7"/>
    <col collapsed="false" customWidth="true" hidden="false" max="18" min="18" style="0" width="7"/>
    <col collapsed="false" customWidth="true" hidden="false" max="22" min="22" style="0" width="11"/>
  </cols>
  <sheetData>
    <row r="1">
      <c r="A1" s="2733"/>
      <c r="B1" s="2733" t="s">
        <v>1788</v>
      </c>
      <c r="C1" s="2734" t="s">
        <v>1789</v>
      </c>
      <c r="D1" s="2733" t="s">
        <v>1790</v>
      </c>
      <c r="E1" s="2735" t="s">
        <v>1791</v>
      </c>
      <c r="F1" s="2736" t="s">
        <v>1792</v>
      </c>
      <c r="G1" s="2733" t="s">
        <v>1793</v>
      </c>
      <c r="H1" s="2733" t="s">
        <v>1794</v>
      </c>
      <c r="I1" s="2737" t="s">
        <v>1795</v>
      </c>
      <c r="J1" s="2738"/>
    </row>
    <row customHeight="true" ht="63" r="2">
      <c r="A2" s="2739" t="s">
        <v>1796</v>
      </c>
      <c r="B2" s="2740" t="s">
        <v>1797</v>
      </c>
      <c r="C2" s="2741" t="s">
        <v>1798</v>
      </c>
      <c r="D2" s="2742" t="s">
        <v>1799</v>
      </c>
      <c r="E2" s="2743">
        <v>2</v>
      </c>
      <c r="F2" s="2744" t="s">
        <v>1800</v>
      </c>
      <c r="G2" s="2744">
        <v>2</v>
      </c>
      <c r="H2" s="2745">
        <f t="shared" ref="H2:H4" si="2">E2-G2</f>
      </c>
      <c r="I2" s="2746"/>
    </row>
    <row customHeight="true" ht="30" r="3">
      <c r="A3" s="2739" t="s">
        <v>1801</v>
      </c>
      <c r="B3" s="2740" t="s">
        <v>1802</v>
      </c>
      <c r="C3" s="2739" t="s">
        <v>1803</v>
      </c>
      <c r="D3" s="2747" t="s">
        <v>1804</v>
      </c>
      <c r="E3" s="2748">
        <v>3</v>
      </c>
      <c r="F3" s="2749" t="s">
        <v>1805</v>
      </c>
      <c r="G3" s="2750">
        <v>1</v>
      </c>
      <c r="H3" s="2751">
        <f t="shared" si="2"/>
      </c>
      <c r="I3" s="2746"/>
    </row>
    <row customHeight="true" ht="43" r="4">
      <c r="A4" s="2739"/>
      <c r="B4" s="2740"/>
      <c r="C4" s="2739" t="s">
        <v>1806</v>
      </c>
      <c r="D4" s="2747" t="s">
        <v>1807</v>
      </c>
      <c r="E4" s="2748">
        <v>2</v>
      </c>
      <c r="F4" s="2749" t="s">
        <v>1800</v>
      </c>
      <c r="G4" s="2749"/>
      <c r="H4" s="2751">
        <f t="shared" si="2"/>
      </c>
      <c r="I4" s="2746"/>
    </row>
    <row customHeight="true" ht="43" r="5">
      <c r="A5" s="2739"/>
      <c r="B5" s="2740"/>
      <c r="C5" s="2739" t="s">
        <v>1808</v>
      </c>
      <c r="D5" s="2747" t="s">
        <v>1807</v>
      </c>
      <c r="E5" s="2748">
        <v>2</v>
      </c>
      <c r="F5" s="2749" t="s">
        <v>1805</v>
      </c>
      <c r="G5" s="2749">
        <v>2</v>
      </c>
      <c r="H5" s="2748">
        <v>0</v>
      </c>
      <c r="I5" s="2746"/>
    </row>
    <row customHeight="true" ht="30" r="6">
      <c r="A6" s="2739"/>
      <c r="B6" s="2740"/>
      <c r="C6" s="2739" t="s">
        <v>1809</v>
      </c>
      <c r="D6" s="2747" t="s">
        <v>1810</v>
      </c>
      <c r="E6" s="2748">
        <v>2</v>
      </c>
      <c r="F6" s="2749" t="s">
        <v>1805</v>
      </c>
      <c r="G6" s="2749"/>
      <c r="H6" s="2751">
        <f t="shared" ref="H6:H18" si="3">E6-G6</f>
      </c>
      <c r="I6" s="2746"/>
    </row>
    <row customHeight="true" ht="30" r="7">
      <c r="A7" s="2739"/>
      <c r="B7" s="2740"/>
      <c r="C7" s="2739" t="s">
        <v>1811</v>
      </c>
      <c r="D7" s="2747" t="s">
        <v>1810</v>
      </c>
      <c r="E7" s="2748">
        <v>2</v>
      </c>
      <c r="F7" s="2749" t="s">
        <v>1805</v>
      </c>
      <c r="G7" s="2749"/>
      <c r="H7" s="2751">
        <f t="shared" si="3"/>
      </c>
      <c r="I7" s="2746"/>
    </row>
    <row customHeight="true" ht="16" r="8">
      <c r="A8" s="2752" t="s">
        <v>1812</v>
      </c>
      <c r="B8" s="2752"/>
      <c r="C8" s="2752"/>
      <c r="D8" s="2752"/>
      <c r="E8" s="2753">
        <f>SUM(E2:E7)</f>
      </c>
      <c r="F8" s="2754"/>
      <c r="G8" s="2753"/>
      <c r="H8" s="2753">
        <f t="shared" si="3"/>
      </c>
      <c r="I8" s="2746"/>
      <c r="K8" s="2755"/>
    </row>
    <row r="9">
      <c r="A9" s="2756" t="s">
        <v>1813</v>
      </c>
      <c r="B9" s="2757" t="s">
        <v>1814</v>
      </c>
      <c r="C9" s="2756" t="s">
        <v>1815</v>
      </c>
      <c r="D9" s="2758" t="s">
        <v>1816</v>
      </c>
      <c r="E9" s="2759">
        <v>2</v>
      </c>
      <c r="F9" s="2760" t="s">
        <v>1805</v>
      </c>
      <c r="G9" s="2760">
        <v>1</v>
      </c>
      <c r="H9" s="2761">
        <f t="shared" si="3"/>
      </c>
      <c r="I9" s="2746"/>
      <c r="K9" s="2755"/>
    </row>
    <row customHeight="true" ht="81" r="10">
      <c r="A10" s="2756"/>
      <c r="B10" s="2757"/>
      <c r="C10" s="2756" t="s">
        <v>1817</v>
      </c>
      <c r="D10" s="2758" t="s">
        <v>1818</v>
      </c>
      <c r="E10" s="2759">
        <v>3</v>
      </c>
      <c r="F10" s="2760" t="s">
        <v>1805</v>
      </c>
      <c r="G10" s="2762">
        <v>2</v>
      </c>
      <c r="H10" s="2761">
        <f t="shared" si="3"/>
      </c>
      <c r="I10" s="2746"/>
      <c r="K10" s="2755"/>
    </row>
    <row customHeight="true" ht="71" r="11">
      <c r="A11" s="2756"/>
      <c r="B11" s="2757"/>
      <c r="C11" s="2756" t="s">
        <v>1819</v>
      </c>
      <c r="D11" s="2758"/>
      <c r="E11" s="2759">
        <v>2</v>
      </c>
      <c r="F11" s="2760" t="s">
        <v>1820</v>
      </c>
      <c r="G11" s="2760"/>
      <c r="H11" s="2761">
        <f t="shared" si="3"/>
      </c>
      <c r="I11" s="2763"/>
      <c r="K11" s="2755"/>
    </row>
    <row customHeight="true" ht="70" r="12">
      <c r="A12" s="2756"/>
      <c r="B12" s="2757"/>
      <c r="C12" s="2756" t="s">
        <v>1821</v>
      </c>
      <c r="D12" s="2758"/>
      <c r="E12" s="2759">
        <v>2</v>
      </c>
      <c r="F12" s="2760" t="s">
        <v>1820</v>
      </c>
      <c r="G12" s="2760"/>
      <c r="H12" s="2761">
        <f t="shared" si="3"/>
      </c>
      <c r="I12" s="2763"/>
      <c r="K12" s="2755"/>
    </row>
    <row customHeight="true" ht="70" r="13">
      <c r="A13" s="2756"/>
      <c r="B13" s="2757"/>
      <c r="C13" s="2756" t="s">
        <v>1822</v>
      </c>
      <c r="D13" s="2758"/>
      <c r="E13" s="2759">
        <v>2</v>
      </c>
      <c r="F13" s="2760" t="s">
        <v>1820</v>
      </c>
      <c r="G13" s="2760"/>
      <c r="H13" s="2761">
        <f t="shared" si="3"/>
      </c>
      <c r="I13" s="2763"/>
      <c r="K13" s="2755"/>
    </row>
    <row customHeight="true" ht="50" r="14">
      <c r="A14" s="2756"/>
      <c r="B14" s="2757"/>
      <c r="C14" s="2756" t="s">
        <v>1823</v>
      </c>
      <c r="D14" s="2756" t="s">
        <v>1824</v>
      </c>
      <c r="E14" s="2759">
        <v>2</v>
      </c>
      <c r="F14" s="2760" t="s">
        <v>1805</v>
      </c>
      <c r="G14" s="2760">
        <v>1</v>
      </c>
      <c r="H14" s="2761">
        <f t="shared" si="3"/>
      </c>
      <c r="I14" s="2763"/>
      <c r="K14" s="2755"/>
    </row>
    <row customHeight="true" ht="50" r="15">
      <c r="A15" s="2756"/>
      <c r="B15" s="2757"/>
      <c r="C15" s="2756" t="s">
        <v>1825</v>
      </c>
      <c r="D15" s="2756"/>
      <c r="E15" s="2759">
        <v>1</v>
      </c>
      <c r="F15" s="2760" t="s">
        <v>1820</v>
      </c>
      <c r="G15" s="2760"/>
      <c r="H15" s="2761">
        <f t="shared" si="3"/>
      </c>
      <c r="I15" s="2763"/>
      <c r="K15" s="2755"/>
    </row>
    <row customHeight="true" ht="50" r="16">
      <c r="A16" s="2756"/>
      <c r="B16" s="2757"/>
      <c r="C16" s="2756" t="s">
        <v>1826</v>
      </c>
      <c r="D16" s="2756"/>
      <c r="E16" s="2759">
        <v>1</v>
      </c>
      <c r="F16" s="2760" t="s">
        <v>1805</v>
      </c>
      <c r="G16" s="2760"/>
      <c r="H16" s="2761">
        <f t="shared" si="3"/>
      </c>
      <c r="I16" s="2763"/>
      <c r="K16" s="2755"/>
    </row>
    <row customHeight="true" ht="50" r="17">
      <c r="A17" s="2756"/>
      <c r="B17" s="2757"/>
      <c r="C17" s="2756" t="s">
        <v>1827</v>
      </c>
      <c r="D17" s="2756"/>
      <c r="E17" s="2759">
        <v>1</v>
      </c>
      <c r="F17" s="2760" t="s">
        <v>1805</v>
      </c>
      <c r="G17" s="2760">
        <v>1</v>
      </c>
      <c r="H17" s="2761">
        <f t="shared" si="3"/>
      </c>
      <c r="I17" s="2763"/>
      <c r="K17" s="2755"/>
    </row>
    <row customHeight="true" ht="50" r="18">
      <c r="A18" s="2756"/>
      <c r="B18" s="2757"/>
      <c r="C18" s="2756" t="s">
        <v>1828</v>
      </c>
      <c r="D18" s="2756"/>
      <c r="E18" s="2759">
        <v>2</v>
      </c>
      <c r="F18" s="2760" t="s">
        <v>1800</v>
      </c>
      <c r="G18" s="2760"/>
      <c r="H18" s="2761">
        <f t="shared" si="3"/>
      </c>
      <c r="I18" s="2746"/>
      <c r="K18" s="2755"/>
    </row>
    <row customHeight="true" ht="50" r="19">
      <c r="A19" s="2756"/>
      <c r="B19" s="2757"/>
      <c r="C19" s="2756" t="s">
        <v>1829</v>
      </c>
      <c r="D19" s="2756"/>
      <c r="E19" s="2759">
        <v>1</v>
      </c>
      <c r="F19" s="2760" t="s">
        <v>1800</v>
      </c>
      <c r="G19" s="2760"/>
      <c r="H19" s="2761"/>
      <c r="I19" s="2746"/>
      <c r="K19" s="2755"/>
    </row>
    <row customHeight="true" ht="56" r="20">
      <c r="A20" s="2756"/>
      <c r="B20" s="2757"/>
      <c r="C20" s="2764" t="s">
        <v>1830</v>
      </c>
      <c r="D20" s="2764" t="s">
        <v>1831</v>
      </c>
      <c r="E20" s="2765">
        <v>2</v>
      </c>
      <c r="F20" s="2766" t="s">
        <v>1820</v>
      </c>
      <c r="G20" s="2767"/>
      <c r="H20" s="2768">
        <f>E20-G20</f>
      </c>
      <c r="I20" s="2769"/>
    </row>
    <row customHeight="true" ht="16" r="21">
      <c r="A21" s="2756"/>
      <c r="B21" s="2757"/>
      <c r="C21" s="2770" t="s">
        <v>1832</v>
      </c>
      <c r="D21" s="2770"/>
      <c r="E21" s="2771">
        <f>SUM(E9:E20)</f>
      </c>
      <c r="F21" s="2772"/>
      <c r="G21" s="2773"/>
      <c r="H21" s="2771">
        <f>SUM(H9:H20)</f>
      </c>
      <c r="I21" s="2769"/>
    </row>
    <row customHeight="true" ht="96" r="22">
      <c r="A22" s="2756" t="s">
        <v>1833</v>
      </c>
      <c r="B22" s="2757" t="s">
        <v>1814</v>
      </c>
      <c r="C22" s="2774" t="s">
        <v>1834</v>
      </c>
      <c r="D22" s="2775" t="s">
        <v>1835</v>
      </c>
      <c r="E22" s="2776">
        <v>3</v>
      </c>
      <c r="F22" s="2777" t="s">
        <v>1805</v>
      </c>
      <c r="G22" s="2777">
        <v>2</v>
      </c>
      <c r="H22" s="2778">
        <f t="shared" ref="H22:H25" si="4">E22-G22</f>
      </c>
      <c r="I22" s="2746" t="s">
        <v>1836</v>
      </c>
    </row>
    <row customHeight="true" ht="35" r="23">
      <c r="A23" s="2756"/>
      <c r="B23" s="2757"/>
      <c r="C23" s="2774" t="s">
        <v>1837</v>
      </c>
      <c r="D23" s="2775" t="s">
        <v>1838</v>
      </c>
      <c r="E23" s="2776">
        <v>2</v>
      </c>
      <c r="F23" s="2777" t="s">
        <v>1820</v>
      </c>
      <c r="G23" s="2777"/>
      <c r="H23" s="2778">
        <f t="shared" si="4"/>
      </c>
      <c r="I23" s="2746"/>
    </row>
    <row customHeight="true" ht="44" r="24">
      <c r="A24" s="2756"/>
      <c r="B24" s="2757"/>
      <c r="C24" s="2764" t="s">
        <v>1839</v>
      </c>
      <c r="D24" s="2779" t="s">
        <v>1840</v>
      </c>
      <c r="E24" s="2765">
        <v>2</v>
      </c>
      <c r="F24" s="2766" t="s">
        <v>1800</v>
      </c>
      <c r="G24" s="2766"/>
      <c r="H24" s="2768">
        <f t="shared" si="4"/>
      </c>
      <c r="I24" s="2746"/>
    </row>
    <row customHeight="true" ht="47" r="25">
      <c r="A25" s="2756"/>
      <c r="B25" s="2757"/>
      <c r="C25" s="2780" t="s">
        <v>1841</v>
      </c>
      <c r="D25" s="2781" t="s">
        <v>1842</v>
      </c>
      <c r="E25" s="2782">
        <v>3</v>
      </c>
      <c r="F25" s="2783" t="s">
        <v>1820</v>
      </c>
      <c r="G25" s="2783"/>
      <c r="H25" s="2784">
        <f t="shared" si="4"/>
      </c>
      <c r="I25" s="2746"/>
      <c r="J25" s="2746"/>
    </row>
    <row customHeight="true" ht="83" r="26">
      <c r="A26" s="2756"/>
      <c r="B26" s="2757"/>
      <c r="C26" s="2780" t="s">
        <v>1843</v>
      </c>
      <c r="D26" s="2781" t="s">
        <v>1844</v>
      </c>
      <c r="E26" s="2782">
        <v>5</v>
      </c>
      <c r="F26" s="2783" t="s">
        <v>1820</v>
      </c>
      <c r="G26" s="2783"/>
      <c r="H26" s="2784"/>
      <c r="I26" s="2746"/>
      <c r="J26" s="2746"/>
    </row>
    <row r="27">
      <c r="A27" s="2756" t="s">
        <v>1845</v>
      </c>
      <c r="B27" s="2785"/>
      <c r="C27" s="2786" t="s">
        <v>1846</v>
      </c>
      <c r="D27" s="2787" t="s">
        <v>1847</v>
      </c>
      <c r="E27" s="2748">
        <v>2</v>
      </c>
      <c r="F27" s="2749" t="s">
        <v>1805</v>
      </c>
      <c r="G27" s="2749">
        <v>2</v>
      </c>
      <c r="H27" s="2751">
        <f t="shared" ref="H27:H30" si="5">E27-G27</f>
      </c>
      <c r="I27" s="2788" t="s">
        <v>1848</v>
      </c>
    </row>
    <row customHeight="true" ht="57" r="28">
      <c r="A28" s="2756"/>
      <c r="B28" s="2785"/>
      <c r="C28" s="2789" t="s">
        <v>1849</v>
      </c>
      <c r="D28" s="2790" t="s">
        <v>1850</v>
      </c>
      <c r="E28" s="2759">
        <v>2</v>
      </c>
      <c r="F28" s="2760" t="s">
        <v>1820</v>
      </c>
      <c r="G28" s="2760"/>
      <c r="H28" s="2759">
        <f t="shared" si="5"/>
      </c>
      <c r="I28" s="2788"/>
    </row>
    <row customHeight="true" ht="53" r="29">
      <c r="A29" s="2756"/>
      <c r="B29" s="2785"/>
      <c r="C29" s="2789" t="s">
        <v>1851</v>
      </c>
      <c r="D29" s="2790" t="s">
        <v>1852</v>
      </c>
      <c r="E29" s="2759">
        <v>2</v>
      </c>
      <c r="F29" s="2760" t="s">
        <v>1800</v>
      </c>
      <c r="G29" s="2760">
        <v>2</v>
      </c>
      <c r="H29" s="2759">
        <f t="shared" si="5"/>
      </c>
      <c r="I29" s="2788"/>
    </row>
    <row customHeight="true" ht="65" r="30">
      <c r="A30" s="2756"/>
      <c r="B30" s="2785"/>
      <c r="C30" s="2789" t="s">
        <v>1853</v>
      </c>
      <c r="D30" s="2790" t="s">
        <v>1854</v>
      </c>
      <c r="E30" s="2759">
        <v>4</v>
      </c>
      <c r="F30" s="2760" t="s">
        <v>1805</v>
      </c>
      <c r="G30" s="2760">
        <v>2</v>
      </c>
      <c r="H30" s="2759">
        <f t="shared" si="5"/>
      </c>
      <c r="I30" s="2788"/>
    </row>
    <row customHeight="true" hidden="true" ht="30" r="31">
      <c r="A31" s="2756"/>
      <c r="B31" s="2757"/>
      <c r="C31" s="2764"/>
      <c r="D31" s="2764"/>
      <c r="E31" s="2765"/>
      <c r="F31" s="2766"/>
      <c r="G31" s="2766"/>
      <c r="H31" s="2768"/>
      <c r="I31" s="2769"/>
    </row>
    <row customHeight="true" hidden="true" ht="30" r="32">
      <c r="A32" s="2756"/>
      <c r="B32" s="2757"/>
      <c r="C32" s="2791"/>
      <c r="D32" s="2791"/>
      <c r="E32" s="2792"/>
      <c r="F32" s="2793"/>
      <c r="G32" s="2793"/>
      <c r="H32" s="2794"/>
      <c r="I32" s="2769"/>
    </row>
    <row customHeight="true" hidden="true" ht="26" r="33">
      <c r="A33" s="2756"/>
      <c r="B33" s="2757"/>
      <c r="C33" s="2791"/>
      <c r="D33" s="2791"/>
      <c r="E33" s="2792"/>
      <c r="F33" s="2793"/>
      <c r="G33" s="2793"/>
      <c r="H33" s="2794"/>
      <c r="I33" s="2769"/>
    </row>
    <row customHeight="true" ht="16" r="34">
      <c r="A34" s="2756"/>
      <c r="B34" s="2757"/>
      <c r="C34" s="2770" t="s">
        <v>1832</v>
      </c>
      <c r="D34" s="2770"/>
      <c r="E34" s="2771">
        <f>SUM(E22:E30)</f>
      </c>
      <c r="F34" s="2772"/>
      <c r="G34" s="2773"/>
      <c r="H34" s="2771">
        <f>SUM(H22:H30)</f>
      </c>
      <c r="I34" s="2769"/>
    </row>
    <row customHeight="true" hidden="true" ht="76" r="35">
      <c r="A35" s="2756"/>
      <c r="B35" s="2740"/>
      <c r="C35" s="2795"/>
      <c r="D35" s="2796"/>
      <c r="E35" s="2797"/>
      <c r="F35" s="2798" t="s">
        <v>1800</v>
      </c>
      <c r="G35" s="2798"/>
      <c r="H35" s="2799">
        <f t="shared" ref="H35:H39" si="6">E35-G35</f>
      </c>
      <c r="I35" s="2788"/>
      <c r="J35" s="2769"/>
    </row>
    <row customHeight="true" hidden="true" ht="84" r="36">
      <c r="A36" s="2756"/>
      <c r="B36" s="2740"/>
      <c r="C36" s="2739"/>
      <c r="D36" s="2800"/>
      <c r="E36" s="2748"/>
      <c r="F36" s="2749" t="s">
        <v>1800</v>
      </c>
      <c r="G36" s="2749"/>
      <c r="H36" s="2801">
        <f t="shared" si="6"/>
      </c>
      <c r="I36" s="2788"/>
      <c r="J36" s="2769"/>
    </row>
    <row customHeight="true" hidden="true" ht="56" r="37">
      <c r="A37" s="2756"/>
      <c r="B37" s="2740"/>
      <c r="C37" s="2764"/>
      <c r="D37" s="2802"/>
      <c r="E37" s="2765"/>
      <c r="F37" s="2766" t="s">
        <v>1800</v>
      </c>
      <c r="G37" s="2766"/>
      <c r="H37" s="2803">
        <f t="shared" si="6"/>
      </c>
      <c r="I37" s="2746"/>
      <c r="J37" s="2746"/>
    </row>
    <row customHeight="true" hidden="true" ht="53" r="38">
      <c r="A38" s="2756"/>
      <c r="B38" s="2740"/>
      <c r="C38" s="2804"/>
      <c r="D38" s="2805"/>
      <c r="E38" s="2806"/>
      <c r="F38" s="2807" t="s">
        <v>1800</v>
      </c>
      <c r="G38" s="2807"/>
      <c r="H38" s="2808">
        <f t="shared" si="6"/>
      </c>
      <c r="I38" s="2746"/>
      <c r="J38" s="2769"/>
    </row>
    <row customHeight="true" hidden="true" ht="57" r="39">
      <c r="A39" s="2756"/>
      <c r="B39" s="2740"/>
      <c r="C39" s="2791"/>
      <c r="D39" s="2809"/>
      <c r="E39" s="2792"/>
      <c r="F39" s="2793" t="s">
        <v>1800</v>
      </c>
      <c r="G39" s="2793"/>
      <c r="H39" s="2810">
        <f t="shared" si="6"/>
      </c>
      <c r="I39" s="2746"/>
      <c r="J39" s="2746" t="s">
        <v>1855</v>
      </c>
    </row>
    <row customHeight="true" hidden="true" ht="57" r="40">
      <c r="A40" s="2756"/>
      <c r="B40" s="2740"/>
      <c r="C40" s="2791"/>
      <c r="D40" s="2809"/>
      <c r="E40" s="2792"/>
      <c r="F40" s="2793" t="s">
        <v>1800</v>
      </c>
      <c r="G40" s="2793"/>
      <c r="H40" s="2810"/>
      <c r="I40" s="2746"/>
      <c r="J40" s="2746"/>
    </row>
    <row customHeight="true" hidden="true" ht="102" r="41">
      <c r="A41" s="2756"/>
      <c r="B41" s="2740" t="s">
        <v>1856</v>
      </c>
      <c r="C41" s="2774"/>
      <c r="D41" s="2811"/>
      <c r="E41" s="2776"/>
      <c r="F41" s="2777" t="s">
        <v>1857</v>
      </c>
      <c r="G41" s="2777"/>
      <c r="H41" s="2812">
        <f t="shared" ref="H41:H51" si="7">E41-G41</f>
      </c>
      <c r="I41" s="2746"/>
      <c r="J41" s="2746"/>
    </row>
    <row customHeight="true" hidden="true" ht="55" r="42">
      <c r="A42" s="2756"/>
      <c r="B42" s="2740"/>
      <c r="C42" s="2741"/>
      <c r="D42" s="2813"/>
      <c r="E42" s="2743"/>
      <c r="F42" s="2744" t="s">
        <v>1857</v>
      </c>
      <c r="G42" s="2744"/>
      <c r="H42" s="2814">
        <f t="shared" si="7"/>
      </c>
      <c r="I42" s="2815"/>
      <c r="J42" s="2746"/>
    </row>
    <row customHeight="true" hidden="true" ht="49" r="43">
      <c r="A43" s="2756"/>
      <c r="B43" s="2740"/>
      <c r="C43" s="2816"/>
      <c r="D43" s="2817"/>
      <c r="E43" s="2818"/>
      <c r="F43" s="2819" t="s">
        <v>1820</v>
      </c>
      <c r="G43" s="2819"/>
      <c r="H43" s="2820">
        <f t="shared" si="7"/>
      </c>
      <c r="I43" s="2746"/>
      <c r="J43" s="2746"/>
    </row>
    <row customHeight="true" hidden="true" ht="57" r="44">
      <c r="A44" s="2756"/>
      <c r="B44" s="2740"/>
      <c r="C44" s="2756"/>
      <c r="D44" s="2758"/>
      <c r="E44" s="2821"/>
      <c r="F44" s="2822" t="s">
        <v>1820</v>
      </c>
      <c r="G44" s="2822"/>
      <c r="H44" s="2821">
        <f t="shared" si="7"/>
      </c>
      <c r="I44" s="2746"/>
      <c r="J44" s="2769"/>
    </row>
    <row customHeight="true" hidden="true" ht="16" r="45">
      <c r="A45" s="2756"/>
      <c r="B45" s="2740"/>
      <c r="C45" s="2756"/>
      <c r="D45" s="2758"/>
      <c r="E45" s="2823"/>
      <c r="F45" s="2824" t="s">
        <v>1858</v>
      </c>
      <c r="G45" s="2824"/>
      <c r="H45" s="2801">
        <f t="shared" si="7"/>
      </c>
      <c r="I45" s="2746"/>
      <c r="J45" s="2769"/>
    </row>
    <row customHeight="true" hidden="true" ht="16" r="46">
      <c r="A46" s="2756"/>
      <c r="B46" s="2740"/>
      <c r="C46" s="2825"/>
      <c r="D46" s="2826"/>
      <c r="E46" s="2827"/>
      <c r="F46" s="2828"/>
      <c r="G46" s="2828"/>
      <c r="H46" s="2803">
        <f t="shared" si="7"/>
      </c>
      <c r="I46" s="2769"/>
      <c r="J46" s="2769"/>
    </row>
    <row customHeight="true" hidden="true" ht="31" r="47">
      <c r="A47" s="2756"/>
      <c r="B47" s="2740"/>
      <c r="C47" s="2829"/>
      <c r="D47" s="2830"/>
      <c r="E47" s="2831"/>
      <c r="F47" s="2832"/>
      <c r="G47" s="2832"/>
      <c r="H47" s="2808">
        <f t="shared" si="7"/>
      </c>
      <c r="I47" s="2746"/>
      <c r="J47" s="2769"/>
    </row>
    <row customHeight="true" hidden="true" ht="31" r="48">
      <c r="A48" s="2756"/>
      <c r="B48" s="2740"/>
      <c r="C48" s="2833"/>
      <c r="D48" s="2834"/>
      <c r="E48" s="2835"/>
      <c r="F48" s="2836"/>
      <c r="G48" s="2836"/>
      <c r="H48" s="2810">
        <f t="shared" si="7"/>
      </c>
      <c r="I48" s="2746"/>
      <c r="J48" s="2769"/>
    </row>
    <row customHeight="true" hidden="true" ht="31" r="49">
      <c r="A49" s="2756"/>
      <c r="B49" s="2740"/>
      <c r="C49" s="2837"/>
      <c r="D49" s="2838"/>
      <c r="E49" s="2839"/>
      <c r="F49" s="2840"/>
      <c r="G49" s="2840"/>
      <c r="H49" s="2812">
        <f t="shared" si="7"/>
      </c>
      <c r="I49" s="2746"/>
      <c r="J49" s="2769"/>
    </row>
    <row customHeight="true" hidden="true" ht="56" r="50">
      <c r="A50" s="2756"/>
      <c r="B50" s="2740"/>
      <c r="C50" s="2841"/>
      <c r="D50" s="2842"/>
      <c r="E50" s="2843"/>
      <c r="F50" s="2844"/>
      <c r="G50" s="2844"/>
      <c r="H50" s="2820">
        <f t="shared" si="7"/>
      </c>
      <c r="I50" s="2746"/>
      <c r="J50" s="2769"/>
    </row>
    <row customHeight="true" hidden="true" ht="31" r="51">
      <c r="A51" s="2756"/>
      <c r="B51" s="2740"/>
      <c r="C51" s="2845"/>
      <c r="D51" s="2846"/>
      <c r="E51" s="2821"/>
      <c r="F51" s="2822"/>
      <c r="G51" s="2822"/>
      <c r="H51" s="2847">
        <f t="shared" si="7"/>
      </c>
      <c r="I51" s="2769"/>
      <c r="J51" s="2769"/>
    </row>
    <row customHeight="true" hidden="true" ht="15" r="52">
      <c r="A52" s="2756"/>
      <c r="B52" s="2740"/>
      <c r="C52" s="2848" t="s">
        <v>1832</v>
      </c>
      <c r="D52" s="2848"/>
      <c r="E52" s="2849">
        <f>SUM(E35:E51)</f>
      </c>
      <c r="F52" s="2850"/>
      <c r="G52" s="2851"/>
      <c r="H52" s="2849">
        <f>SUM(H35:H44)</f>
      </c>
      <c r="I52" s="2769"/>
      <c r="J52" s="2769"/>
    </row>
    <row customHeight="true" hidden="true" ht="78" r="53">
      <c r="A53" s="2756"/>
      <c r="B53" s="2757"/>
      <c r="C53" s="2852"/>
      <c r="D53" s="2781"/>
      <c r="E53" s="2782"/>
      <c r="F53" s="2783"/>
      <c r="G53" s="2783"/>
      <c r="H53" s="2784">
        <f t="shared" ref="H53:H57" si="8">E53-G53</f>
      </c>
      <c r="I53" s="2746"/>
    </row>
    <row customHeight="true" hidden="true" ht="79" r="54">
      <c r="A54" s="2756"/>
      <c r="B54" s="2757"/>
      <c r="C54" s="2853"/>
      <c r="D54" s="2854"/>
      <c r="E54" s="2843"/>
      <c r="F54" s="2844"/>
      <c r="G54" s="2844"/>
      <c r="H54" s="2820">
        <f t="shared" si="8"/>
      </c>
      <c r="I54" s="2746"/>
    </row>
    <row customHeight="true" hidden="true" ht="99" r="55">
      <c r="A55" s="2756"/>
      <c r="B55" s="2757"/>
      <c r="C55" s="2855"/>
      <c r="D55" s="2758"/>
      <c r="E55" s="2821"/>
      <c r="F55" s="2822"/>
      <c r="G55" s="2822"/>
      <c r="H55" s="2847">
        <f t="shared" si="8"/>
      </c>
      <c r="I55" s="2746"/>
    </row>
    <row customHeight="true" hidden="true" ht="60" r="56">
      <c r="A56" s="2756"/>
      <c r="B56" s="2757"/>
      <c r="C56" s="2856"/>
      <c r="D56" s="2857"/>
      <c r="E56" s="2823"/>
      <c r="F56" s="2824"/>
      <c r="G56" s="2824"/>
      <c r="H56" s="2801">
        <f t="shared" si="8"/>
      </c>
      <c r="I56" s="2746"/>
    </row>
    <row customHeight="true" hidden="true" ht="54" r="57">
      <c r="A57" s="2756"/>
      <c r="B57" s="2757"/>
      <c r="C57" s="2825"/>
      <c r="D57" s="2826"/>
      <c r="E57" s="2827"/>
      <c r="F57" s="2828"/>
      <c r="G57" s="2828"/>
      <c r="H57" s="2803">
        <f t="shared" si="8"/>
      </c>
      <c r="I57" s="2746" t="s">
        <v>1859</v>
      </c>
    </row>
    <row customHeight="true" hidden="true" ht="13" r="58">
      <c r="A58" s="2756"/>
      <c r="B58" s="2757"/>
      <c r="C58" s="2848" t="s">
        <v>1832</v>
      </c>
      <c r="D58" s="2848"/>
      <c r="E58" s="2849">
        <f>SUM(E53:E57)</f>
      </c>
      <c r="F58" s="2850"/>
      <c r="G58" s="2851"/>
      <c r="H58" s="2849">
        <f>SUM(H53:H57)</f>
      </c>
      <c r="I58" s="2769"/>
    </row>
    <row customHeight="true" hidden="true" ht="16" r="59">
      <c r="A59" s="2752" t="s">
        <v>1812</v>
      </c>
      <c r="B59" s="2752"/>
      <c r="C59" s="2752"/>
      <c r="D59" s="2752"/>
      <c r="E59" s="2753">
        <f>SUM(E21,E34,E52,E58)</f>
      </c>
      <c r="F59" s="2754"/>
      <c r="G59" s="2858"/>
      <c r="H59" s="2753">
        <f>SUM(H21,H34,H52,H58)</f>
      </c>
      <c r="I59" s="2769"/>
      <c r="J59" s="2746"/>
    </row>
    <row customHeight="true" hidden="true" ht="185" r="60">
      <c r="A60" s="2774"/>
      <c r="B60" s="2757"/>
      <c r="C60" s="2817"/>
      <c r="D60" s="2802"/>
      <c r="E60" s="2765"/>
      <c r="F60" s="2766"/>
      <c r="G60" s="2766"/>
      <c r="H60" s="2803">
        <f>E60-G60</f>
      </c>
      <c r="I60" s="2763" t="s">
        <v>1860</v>
      </c>
      <c r="J60" s="2788"/>
    </row>
    <row customHeight="true" hidden="true" ht="43" r="61">
      <c r="A61" s="2774"/>
      <c r="B61" s="2757"/>
      <c r="C61" s="2816"/>
      <c r="D61" s="2802"/>
      <c r="E61" s="2765"/>
      <c r="F61" s="2766"/>
      <c r="G61" s="2766"/>
      <c r="H61" s="2803"/>
      <c r="I61" s="2763"/>
    </row>
    <row customHeight="true" hidden="true" ht="41" r="62">
      <c r="A62" s="2774"/>
      <c r="B62" s="2757"/>
      <c r="C62" s="2816"/>
      <c r="D62" s="2802"/>
      <c r="E62" s="2765"/>
      <c r="F62" s="2828"/>
      <c r="G62" s="2828"/>
      <c r="H62" s="2803">
        <f t="shared" ref="H62:H65" si="9">E62-G62</f>
      </c>
      <c r="I62" s="2763"/>
    </row>
    <row customHeight="true" hidden="true" ht="41" r="63">
      <c r="A63" s="2774"/>
      <c r="B63" s="2757"/>
      <c r="C63" s="2816"/>
      <c r="D63" s="2802"/>
      <c r="E63" s="2765"/>
      <c r="F63" s="2840"/>
      <c r="G63" s="2840"/>
      <c r="H63" s="2812">
        <f t="shared" si="9"/>
      </c>
      <c r="I63" s="2763"/>
      <c r="J63" s="2746"/>
    </row>
    <row customHeight="true" hidden="true" ht="41" r="64">
      <c r="A64" s="2774"/>
      <c r="B64" s="2757"/>
      <c r="C64" s="2816"/>
      <c r="D64" s="2802"/>
      <c r="E64" s="2765"/>
      <c r="F64" s="2859"/>
      <c r="G64" s="2859"/>
      <c r="H64" s="2799">
        <f t="shared" si="9"/>
      </c>
      <c r="I64" s="2763"/>
      <c r="J64" s="2746"/>
    </row>
    <row customHeight="true" hidden="true" ht="41" r="65">
      <c r="A65" s="2774"/>
      <c r="B65" s="2757"/>
      <c r="C65" s="2816"/>
      <c r="D65" s="2802"/>
      <c r="E65" s="2765"/>
      <c r="F65" s="2844"/>
      <c r="G65" s="2844"/>
      <c r="H65" s="2820">
        <f t="shared" si="9"/>
      </c>
      <c r="I65" s="2763"/>
      <c r="J65" s="2746"/>
    </row>
    <row customHeight="true" hidden="true" ht="16" r="66">
      <c r="A66" s="2774"/>
      <c r="B66" s="2757"/>
      <c r="C66" s="2848" t="s">
        <v>1832</v>
      </c>
      <c r="D66" s="2848"/>
      <c r="E66" s="2849">
        <f>SUM(E60:E65)</f>
      </c>
      <c r="F66" s="2850"/>
      <c r="G66" s="2851"/>
      <c r="H66" s="2849">
        <f>SUM(H60:H65)</f>
      </c>
    </row>
    <row customHeight="true" hidden="true" ht="16" r="67">
      <c r="A67" s="2752" t="s">
        <v>1812</v>
      </c>
      <c r="B67" s="2752"/>
      <c r="C67" s="2752"/>
      <c r="D67" s="2752"/>
      <c r="E67" s="2753">
        <f>SUM(E66)</f>
      </c>
      <c r="F67" s="2754"/>
      <c r="G67" s="2858"/>
      <c r="H67" s="2753">
        <f>SUM(H66)</f>
      </c>
      <c r="I67" s="2769"/>
    </row>
    <row customHeight="true" ht="100" r="68">
      <c r="A68" s="2791" t="s">
        <v>1861</v>
      </c>
      <c r="B68" s="2757" t="s">
        <v>1856</v>
      </c>
      <c r="C68" s="2791" t="s">
        <v>1862</v>
      </c>
      <c r="D68" s="2809" t="s">
        <v>1863</v>
      </c>
      <c r="E68" s="2792">
        <v>5</v>
      </c>
      <c r="F68" s="2793" t="s">
        <v>1820</v>
      </c>
      <c r="G68" s="2793"/>
      <c r="H68" s="2810">
        <f>E68-G68</f>
      </c>
      <c r="I68" s="2769"/>
      <c r="J68" s="2769"/>
    </row>
    <row customHeight="true" ht="17" r="69">
      <c r="A69" s="2752" t="s">
        <v>1812</v>
      </c>
      <c r="B69" s="2752"/>
      <c r="C69" s="2752"/>
      <c r="D69" s="2752"/>
      <c r="E69" s="2753">
        <f>SUM(E68)</f>
      </c>
      <c r="F69" s="2754"/>
      <c r="G69" s="2858"/>
      <c r="H69" s="2753">
        <f>SUM(H68)</f>
      </c>
      <c r="I69" s="2769"/>
      <c r="J69" s="2769"/>
    </row>
    <row customHeight="true" ht="16" r="70">
      <c r="A70" s="2753" t="s">
        <v>1832</v>
      </c>
      <c r="B70" s="2753"/>
      <c r="C70" s="2753"/>
      <c r="D70" s="2753"/>
      <c r="E70" s="2753">
        <f>SUM(E8,E21,E34)</f>
      </c>
      <c r="F70" s="2754"/>
      <c r="G70" s="2860"/>
      <c r="H70" s="2753">
        <f>SUM(H8,H59,H67,H69)</f>
      </c>
      <c r="I70" s="2746"/>
      <c r="J70" s="2769"/>
    </row>
    <row customHeight="true" ht="16" r="71">
      <c r="B71" s="2769"/>
      <c r="C71" s="2769"/>
      <c r="D71" s="2769"/>
      <c r="E71" s="2769"/>
      <c r="F71" s="2746"/>
      <c r="G71" s="2746"/>
      <c r="H71" s="2746"/>
      <c r="I71" s="2769"/>
      <c r="J71" s="2769"/>
    </row>
    <row customHeight="true" ht="16" r="72">
      <c r="B72" s="2769"/>
      <c r="C72" s="2769"/>
      <c r="D72" s="2769"/>
      <c r="E72" s="2769"/>
      <c r="F72" s="2746"/>
      <c r="G72" s="2746"/>
      <c r="H72" s="2746"/>
      <c r="I72" s="2769"/>
      <c r="J72" s="2746"/>
      <c r="K72" s="2746"/>
      <c r="L72" s="2746"/>
      <c r="M72" s="2746"/>
      <c r="N72" s="2746"/>
      <c r="O72" s="2746"/>
      <c r="P72" s="2746"/>
    </row>
    <row r="73">
      <c r="D73" s="2769"/>
      <c r="E73" s="2773" t="s">
        <v>1864</v>
      </c>
      <c r="F73" s="2861" t="s">
        <v>1791</v>
      </c>
      <c r="G73" s="2861" t="s">
        <v>1865</v>
      </c>
      <c r="H73" s="2861" t="s">
        <v>1794</v>
      </c>
      <c r="I73" s="2746"/>
      <c r="J73" s="2746"/>
      <c r="M73" s="2746"/>
    </row>
    <row r="74">
      <c r="D74" s="2769"/>
      <c r="E74" s="2862" t="s">
        <v>1866</v>
      </c>
      <c r="F74" s="2863">
        <f>SUMIF(F2:F70,"Huyền",E2:E70)</f>
      </c>
      <c r="G74" s="2863">
        <f>SUMIF(F2:F70,"Huyền",G2:G70)</f>
      </c>
      <c r="H74" s="2863">
        <f t="shared" ref="H74:H81" si="1">F74-G74</f>
      </c>
      <c r="I74" s="2746"/>
      <c r="J74" s="2746"/>
    </row>
    <row r="75">
      <c r="D75" s="2746"/>
      <c r="E75" s="2861" t="s">
        <v>1800</v>
      </c>
      <c r="F75" s="2773">
        <f>SUMIF(F2:F70,"Hoa",E2:E70)</f>
      </c>
      <c r="G75" s="2863">
        <f>SUMIF(F2:F70,"Hoa",G2:G70)</f>
      </c>
      <c r="H75" s="2773">
        <f t="shared" si="1"/>
      </c>
      <c r="I75" s="2746"/>
      <c r="J75" s="2746"/>
      <c r="K75" s="2746" t="s">
        <v>1867</v>
      </c>
      <c r="L75" s="2746" t="s">
        <v>1868</v>
      </c>
      <c r="M75" s="2746" t="s">
        <v>1869</v>
      </c>
      <c r="N75" s="2746" t="s">
        <v>1870</v>
      </c>
      <c r="O75" s="2746" t="s">
        <v>1871</v>
      </c>
      <c r="P75" s="2746" t="s">
        <v>1872</v>
      </c>
      <c r="Q75" s="2746" t="s">
        <v>1800</v>
      </c>
      <c r="R75" s="2746" t="s">
        <v>1820</v>
      </c>
      <c r="S75" s="2746" t="s">
        <v>1873</v>
      </c>
      <c r="T75" s="2746" t="s">
        <v>1874</v>
      </c>
      <c r="U75" s="2746"/>
      <c r="V75" s="2746"/>
    </row>
    <row r="76">
      <c r="D76" s="2746"/>
      <c r="E76" s="2773" t="s">
        <v>1805</v>
      </c>
      <c r="F76" s="2851">
        <f>SUMIF(F2:F70,"Thúy",E2:E70)</f>
      </c>
      <c r="G76" s="2863">
        <f>SUMIF(F2:F70,"Thúy",G2:G70)</f>
      </c>
      <c r="H76" s="2773">
        <f t="shared" si="1"/>
      </c>
      <c r="I76" s="2746"/>
      <c r="J76" s="2746" t="s">
        <v>1875</v>
      </c>
      <c r="K76" s="2746">
        <v>10</v>
      </c>
      <c r="L76" s="2746">
        <v>25</v>
      </c>
      <c r="M76" s="2746">
        <v>5</v>
      </c>
      <c r="N76" s="2746"/>
      <c r="O76" s="2746">
        <v>10</v>
      </c>
      <c r="P76" s="2746"/>
      <c r="S76" s="2746"/>
      <c r="T76">
        <f t="shared" ref="T76:T81" si="0">SUM(K76:S76)</f>
      </c>
    </row>
    <row r="77">
      <c r="D77" s="2746"/>
      <c r="E77" s="2861" t="s">
        <v>1857</v>
      </c>
      <c r="F77" s="2864">
        <f>SUMIF(F2:F70,"Ngân",E2:E70)</f>
      </c>
      <c r="G77" s="2863">
        <f>SUMIF(F2:F70,"Ngân",G2:G70)</f>
      </c>
      <c r="H77" s="2865">
        <f t="shared" si="1"/>
      </c>
      <c r="I77" s="2746"/>
      <c r="J77" s="2746" t="s">
        <v>1876</v>
      </c>
      <c r="L77" s="2746"/>
      <c r="O77" s="2746">
        <v>15</v>
      </c>
      <c r="P77" s="2746"/>
      <c r="S77" s="2746">
        <v>25</v>
      </c>
      <c r="T77">
        <f t="shared" si="0"/>
      </c>
    </row>
    <row customHeight="true" ht="16" r="78">
      <c r="D78" s="2769"/>
      <c r="E78" s="2866" t="s">
        <v>1858</v>
      </c>
      <c r="F78" s="2867">
        <f>SUMIF(F2:F70,"Bích",E2:E70)</f>
      </c>
      <c r="G78" s="2863">
        <f>SUMIF(F2:F70,"Bích",G2:G70)</f>
      </c>
      <c r="H78" s="2868">
        <f t="shared" si="1"/>
      </c>
      <c r="I78" s="2746"/>
      <c r="J78" s="2746" t="s">
        <v>1877</v>
      </c>
      <c r="M78" s="2746">
        <v>20</v>
      </c>
      <c r="P78" s="2746"/>
      <c r="Q78" s="2746"/>
      <c r="T78">
        <f t="shared" si="0"/>
      </c>
    </row>
    <row customHeight="true" ht="16" r="79">
      <c r="D79" s="2769"/>
      <c r="E79" s="2869" t="s">
        <v>1820</v>
      </c>
      <c r="F79" s="2870">
        <f>SUMIF(F3:F70,"Phương",E3:E70)</f>
      </c>
      <c r="G79" s="2863">
        <f>SUMIF(F2:F70,"Phương",G2:G70)</f>
      </c>
      <c r="H79" s="2871">
        <f t="shared" si="1"/>
      </c>
      <c r="I79" s="2746"/>
      <c r="J79" s="2746" t="s">
        <v>1878</v>
      </c>
      <c r="K79" s="2746">
        <v>15</v>
      </c>
      <c r="L79" s="2746"/>
      <c r="T79">
        <f t="shared" si="0"/>
      </c>
    </row>
    <row r="80">
      <c r="D80" s="2769"/>
      <c r="E80" s="2869" t="s">
        <v>1871</v>
      </c>
      <c r="F80" s="2870">
        <f>SUMIF(F3:F71,"Mai",E3:E71)</f>
      </c>
      <c r="G80" s="2863">
        <f>SUMIF(F2:F70,"Mai",G2:G70)</f>
      </c>
      <c r="H80" s="2871">
        <f t="shared" si="1"/>
      </c>
      <c r="I80" s="2746"/>
      <c r="J80" s="2746" t="s">
        <v>1879</v>
      </c>
      <c r="M80" s="2746"/>
      <c r="O80" s="2746"/>
      <c r="P80" s="2746">
        <v>20</v>
      </c>
      <c r="Q80" s="2746">
        <v>20</v>
      </c>
      <c r="R80" s="2746">
        <v>20</v>
      </c>
      <c r="S80" s="2746"/>
      <c r="T80">
        <f t="shared" si="0"/>
      </c>
    </row>
    <row r="81">
      <c r="D81" s="2746"/>
      <c r="E81" s="2872" t="s">
        <v>1832</v>
      </c>
      <c r="F81" s="2873">
        <f>SUM(F74:F80)</f>
      </c>
      <c r="G81" s="2863">
        <f>SUM(G74:G80)</f>
      </c>
      <c r="H81" s="2873">
        <f t="shared" si="1"/>
      </c>
      <c r="I81" s="2746"/>
      <c r="J81" s="2746" t="s">
        <v>1812</v>
      </c>
      <c r="K81">
        <f>SUM(K76:K80)</f>
      </c>
      <c r="L81">
        <f>SUM(L76:L80)</f>
      </c>
      <c r="M81">
        <f>SUM(M76:M80)</f>
      </c>
      <c r="N81">
        <f>SUM(N76:N80)</f>
      </c>
      <c r="O81">
        <f>SUM(O76:O80)</f>
      </c>
      <c r="P81">
        <f>SUM(P76:P80)</f>
      </c>
      <c r="Q81">
        <f>SUM(Q76:Q80)</f>
      </c>
      <c r="R81">
        <f>SUM(R76:R80)</f>
      </c>
      <c r="S81">
        <f>SUM(S76:S80)</f>
      </c>
      <c r="T81">
        <f t="shared" si="0"/>
      </c>
    </row>
    <row r="82">
      <c r="F82" s="2769"/>
      <c r="G82" s="2769"/>
      <c r="H82" s="2769"/>
      <c r="I82" s="2746"/>
      <c r="L82" s="2746"/>
      <c r="N82" s="2746"/>
    </row>
    <row r="83">
      <c r="J83" s="2746"/>
      <c r="K83" s="2746"/>
      <c r="L83" s="2746"/>
      <c r="M83" s="2746"/>
      <c r="N83" s="2746"/>
      <c r="O83" s="2746"/>
      <c r="P83" s="2746"/>
      <c r="Q83" s="2746"/>
      <c r="R83" s="2746"/>
      <c r="S83" s="2746"/>
      <c r="T83" s="2746"/>
    </row>
    <row r="84">
      <c r="J84" s="2746"/>
      <c r="K84" s="2746"/>
      <c r="L84" s="2746"/>
      <c r="M84" s="2746"/>
      <c r="N84" s="2746"/>
      <c r="O84" s="2746"/>
      <c r="P84" s="2746"/>
    </row>
    <row r="85">
      <c r="J85" s="2746"/>
      <c r="L85" s="2746"/>
      <c r="N85" s="2746"/>
      <c r="O85" s="2746"/>
      <c r="P85" s="2746"/>
      <c r="S85" s="2746"/>
    </row>
    <row r="86">
      <c r="J86" s="2746"/>
      <c r="M86" s="2746"/>
      <c r="Q86" s="2746"/>
    </row>
    <row r="87">
      <c r="J87" s="2746"/>
      <c r="K87" s="2746"/>
      <c r="L87" s="2746"/>
    </row>
    <row r="88">
      <c r="J88" s="2746"/>
      <c r="M88" s="2746"/>
      <c r="O88" s="2746"/>
      <c r="P88" s="2746"/>
      <c r="Q88" s="2746"/>
      <c r="R88" s="2746"/>
      <c r="S88" s="2746"/>
    </row>
    <row r="89">
      <c r="J89" s="2746"/>
    </row>
  </sheetData>
  <mergeCells>
    <mergeCell ref="D10:D13"/>
    <mergeCell ref="B3:B7"/>
    <mergeCell ref="A8:D8"/>
    <mergeCell ref="A3:A7"/>
    <mergeCell ref="B22:B26"/>
    <mergeCell ref="A22:A26"/>
    <mergeCell ref="I27:I30"/>
    <mergeCell ref="A27:A30"/>
    <mergeCell ref="B27:B30"/>
    <mergeCell ref="C34:D34"/>
    <mergeCell ref="B41:B42"/>
    <mergeCell ref="A59:D59"/>
    <mergeCell ref="C58:D58"/>
    <mergeCell ref="C52:D52"/>
    <mergeCell ref="C66:D66"/>
    <mergeCell ref="A67:D67"/>
    <mergeCell ref="A69:D69"/>
    <mergeCell ref="A70:D70"/>
    <mergeCell ref="I60:I65"/>
    <mergeCell ref="C21:D21"/>
    <mergeCell ref="A9:A20"/>
    <mergeCell ref="B9:B19"/>
    <mergeCell ref="D14:D19"/>
  </mergeCells>
  <picture r:id="rId1"/>
</worksheet>
</file>

<file path=xl/worksheets/sheet2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5" min="5" style="0" width="11"/>
    <col collapsed="false" customWidth="true" hidden="false" max="9" min="9" style="0" width="18"/>
    <col collapsed="false" customWidth="true" hidden="false" max="13" min="13" style="0" width="7"/>
    <col collapsed="false" customWidth="true" hidden="false" max="17" min="17" style="0" width="6"/>
    <col collapsed="false" customWidth="true" hidden="false" max="21" min="21" style="0" width="11"/>
    <col collapsed="false" customWidth="true" hidden="false" max="1" min="1" style="0" width="22"/>
    <col collapsed="false" customWidth="true" hidden="false" max="4" min="4" style="0" width="29"/>
    <col collapsed="false" customWidth="true" hidden="false" max="10" min="10" style="0" width="5"/>
    <col collapsed="false" customWidth="true" hidden="false" max="14" min="14" style="0" width="7"/>
    <col collapsed="false" customWidth="true" hidden="false" max="18" min="18" style="0" width="7"/>
    <col collapsed="false" customWidth="true" hidden="false" max="22" min="22" style="0" width="11"/>
    <col collapsed="false" customWidth="true" hidden="false" max="2" min="2" style="0" width="22"/>
    <col collapsed="false" customWidth="true" hidden="false" max="6" min="6" style="0" width="11"/>
    <col collapsed="false" customWidth="true" hidden="false" max="15" min="15" style="0" width="7"/>
    <col collapsed="false" customWidth="true" hidden="false" max="19" min="19" style="0" width="10"/>
    <col collapsed="false" customWidth="true" hidden="false" max="7" min="7" style="0" width="11"/>
    <col collapsed="false" customWidth="true" hidden="false" max="11" min="11" style="0" width="8"/>
    <col collapsed="false" customWidth="true" hidden="false" max="12" min="12" style="0" width="7"/>
    <col collapsed="false" customWidth="true" hidden="false" max="16" min="16" style="0" width="6"/>
    <col collapsed="false" customWidth="true" hidden="false" max="3" min="3" style="0" width="22"/>
    <col collapsed="false" customWidth="true" hidden="false" max="8" min="8" style="0" width="11"/>
  </cols>
  <sheetData>
    <row r="1">
      <c r="A1" s="2874"/>
      <c r="B1" s="2874" t="s">
        <v>1880</v>
      </c>
      <c r="C1" s="2875" t="s">
        <v>1881</v>
      </c>
      <c r="D1" s="2874" t="s">
        <v>1882</v>
      </c>
      <c r="E1" s="2876" t="s">
        <v>1883</v>
      </c>
      <c r="F1" s="2877" t="s">
        <v>1884</v>
      </c>
      <c r="G1" s="2874" t="s">
        <v>1885</v>
      </c>
      <c r="H1" s="2874" t="s">
        <v>1886</v>
      </c>
      <c r="I1" s="2878" t="s">
        <v>1887</v>
      </c>
      <c r="J1" s="2879"/>
    </row>
    <row customHeight="true" ht="30" r="2">
      <c r="A2" s="2880" t="s">
        <v>1888</v>
      </c>
      <c r="B2" s="2881" t="s">
        <v>1889</v>
      </c>
      <c r="C2" s="2880" t="s">
        <v>1890</v>
      </c>
      <c r="D2" s="2882" t="s">
        <v>1891</v>
      </c>
      <c r="E2" s="2883">
        <v>3</v>
      </c>
      <c r="F2" s="2884" t="s">
        <v>1892</v>
      </c>
      <c r="G2" s="2884">
        <v>1</v>
      </c>
      <c r="H2" s="2885">
        <f t="shared" ref="H2:H15" si="2">E2-G2</f>
      </c>
      <c r="I2" s="2886"/>
    </row>
    <row customHeight="true" ht="37" r="3">
      <c r="A3" s="2880"/>
      <c r="B3" s="2881"/>
      <c r="C3" s="2880" t="s">
        <v>1893</v>
      </c>
      <c r="D3" s="2882" t="s">
        <v>1894</v>
      </c>
      <c r="E3" s="2883">
        <v>3</v>
      </c>
      <c r="F3" s="2884" t="s">
        <v>1895</v>
      </c>
      <c r="G3" s="2884">
        <v>3</v>
      </c>
      <c r="H3" s="2885">
        <f t="shared" si="2"/>
      </c>
      <c r="I3" s="2886" t="s">
        <v>1896</v>
      </c>
    </row>
    <row customHeight="true" ht="16" r="4">
      <c r="A4" s="2887" t="s">
        <v>1897</v>
      </c>
      <c r="B4" s="2887"/>
      <c r="C4" s="2887"/>
      <c r="D4" s="2887"/>
      <c r="E4" s="2888">
        <v>6</v>
      </c>
      <c r="F4" s="2889"/>
      <c r="G4" s="2888"/>
      <c r="H4" s="2888">
        <f t="shared" si="2"/>
      </c>
      <c r="I4" s="2886"/>
      <c r="K4" s="2890"/>
    </row>
    <row customHeight="true" ht="26" r="5">
      <c r="A5" s="2891" t="s">
        <v>1898</v>
      </c>
      <c r="B5" s="2892" t="s">
        <v>1899</v>
      </c>
      <c r="C5" s="2891" t="s">
        <v>1900</v>
      </c>
      <c r="D5" s="2893" t="s">
        <v>1901</v>
      </c>
      <c r="E5" s="2894">
        <v>2</v>
      </c>
      <c r="F5" s="2895" t="s">
        <v>1902</v>
      </c>
      <c r="G5" s="2895">
        <v>2</v>
      </c>
      <c r="H5" s="2896">
        <f t="shared" si="2"/>
      </c>
      <c r="I5" s="2886"/>
      <c r="K5" s="2890"/>
    </row>
    <row customHeight="true" ht="29" r="6">
      <c r="A6" s="2891"/>
      <c r="B6" s="2892"/>
      <c r="C6" s="2891" t="s">
        <v>1903</v>
      </c>
      <c r="D6" s="2893" t="s">
        <v>1904</v>
      </c>
      <c r="E6" s="2894">
        <v>2</v>
      </c>
      <c r="F6" s="2895" t="s">
        <v>1892</v>
      </c>
      <c r="G6" s="2895">
        <v>2</v>
      </c>
      <c r="H6" s="2896">
        <f t="shared" si="2"/>
      </c>
      <c r="I6" s="2886"/>
      <c r="K6" s="2890"/>
    </row>
    <row customHeight="true" ht="22" r="7">
      <c r="A7" s="2891"/>
      <c r="B7" s="2892"/>
      <c r="C7" s="2891" t="s">
        <v>1905</v>
      </c>
      <c r="D7" s="2893"/>
      <c r="E7" s="2894">
        <v>1</v>
      </c>
      <c r="F7" s="2895" t="s">
        <v>1892</v>
      </c>
      <c r="G7" s="2895">
        <v>1</v>
      </c>
      <c r="H7" s="2896">
        <f t="shared" si="2"/>
      </c>
      <c r="I7" s="2897"/>
      <c r="K7" s="2890"/>
    </row>
    <row customHeight="true" ht="19" r="8">
      <c r="A8" s="2891"/>
      <c r="B8" s="2892"/>
      <c r="C8" s="2891" t="s">
        <v>1906</v>
      </c>
      <c r="D8" s="2893"/>
      <c r="E8" s="2894">
        <v>1</v>
      </c>
      <c r="F8" s="2895" t="s">
        <v>1892</v>
      </c>
      <c r="G8" s="2895">
        <v>1</v>
      </c>
      <c r="H8" s="2896">
        <f t="shared" si="2"/>
      </c>
      <c r="I8" s="2897"/>
      <c r="K8" s="2890"/>
    </row>
    <row customHeight="true" ht="44" r="9">
      <c r="A9" s="2891"/>
      <c r="B9" s="2892"/>
      <c r="C9" s="2891" t="s">
        <v>1907</v>
      </c>
      <c r="D9" s="2893"/>
      <c r="E9" s="2894">
        <v>3</v>
      </c>
      <c r="F9" s="2895" t="s">
        <v>1892</v>
      </c>
      <c r="G9" s="2895">
        <v>3</v>
      </c>
      <c r="H9" s="2896">
        <f t="shared" si="2"/>
      </c>
      <c r="I9" s="2897"/>
      <c r="K9" s="2890"/>
    </row>
    <row customHeight="true" ht="30" r="10">
      <c r="A10" s="2891"/>
      <c r="B10" s="2892"/>
      <c r="C10" s="2891" t="s">
        <v>1908</v>
      </c>
      <c r="D10" s="2891" t="s">
        <v>1909</v>
      </c>
      <c r="E10" s="2894">
        <v>2</v>
      </c>
      <c r="F10" s="2895" t="s">
        <v>1902</v>
      </c>
      <c r="G10" s="2895">
        <v>2</v>
      </c>
      <c r="H10" s="2896">
        <f t="shared" si="2"/>
      </c>
      <c r="I10" s="2897"/>
      <c r="K10" s="2890"/>
    </row>
    <row customHeight="true" ht="25" r="11">
      <c r="A11" s="2891"/>
      <c r="B11" s="2892"/>
      <c r="C11" s="2891" t="s">
        <v>1910</v>
      </c>
      <c r="D11" s="2891"/>
      <c r="E11" s="2894">
        <v>2</v>
      </c>
      <c r="F11" s="2895" t="s">
        <v>1895</v>
      </c>
      <c r="G11" s="2895">
        <v>2</v>
      </c>
      <c r="H11" s="2896">
        <f t="shared" si="2"/>
      </c>
      <c r="I11" s="2897"/>
      <c r="K11" s="2890"/>
    </row>
    <row customHeight="true" ht="21" r="12">
      <c r="A12" s="2891"/>
      <c r="B12" s="2892"/>
      <c r="C12" s="2891" t="s">
        <v>1911</v>
      </c>
      <c r="D12" s="2891"/>
      <c r="E12" s="2894">
        <v>2</v>
      </c>
      <c r="F12" s="2895" t="s">
        <v>1902</v>
      </c>
      <c r="G12" s="2895">
        <v>1</v>
      </c>
      <c r="H12" s="2896">
        <f t="shared" si="2"/>
      </c>
      <c r="I12" s="2897"/>
      <c r="K12" s="2890"/>
    </row>
    <row customHeight="true" ht="26" r="13">
      <c r="A13" s="2891"/>
      <c r="B13" s="2892"/>
      <c r="C13" s="2891" t="s">
        <v>1912</v>
      </c>
      <c r="D13" s="2891"/>
      <c r="E13" s="2894">
        <v>3</v>
      </c>
      <c r="F13" s="2895" t="s">
        <v>1892</v>
      </c>
      <c r="G13" s="2895"/>
      <c r="H13" s="2896">
        <f t="shared" si="2"/>
      </c>
      <c r="I13" s="2897"/>
      <c r="K13" s="2890"/>
    </row>
    <row customHeight="true" ht="29" r="14">
      <c r="A14" s="2891"/>
      <c r="B14" s="2892"/>
      <c r="C14" s="2891" t="s">
        <v>1913</v>
      </c>
      <c r="D14" s="2891"/>
      <c r="E14" s="2894">
        <v>3</v>
      </c>
      <c r="F14" s="2895" t="s">
        <v>1902</v>
      </c>
      <c r="G14" s="2895">
        <v>2</v>
      </c>
      <c r="H14" s="2896">
        <f t="shared" si="2"/>
      </c>
      <c r="I14" s="2886"/>
      <c r="K14" s="2890"/>
    </row>
    <row customHeight="true" ht="76" r="15">
      <c r="A15" s="2891"/>
      <c r="B15" s="2892"/>
      <c r="C15" s="2898" t="s">
        <v>1914</v>
      </c>
      <c r="D15" s="2898" t="s">
        <v>1915</v>
      </c>
      <c r="E15" s="2899">
        <v>3</v>
      </c>
      <c r="F15" s="2900" t="s">
        <v>1895</v>
      </c>
      <c r="G15" s="2900">
        <v>1</v>
      </c>
      <c r="H15" s="2901">
        <f t="shared" si="2"/>
      </c>
      <c r="I15" s="2902"/>
    </row>
    <row customHeight="true" ht="16" r="16">
      <c r="A16" s="2891"/>
      <c r="B16" s="2892"/>
      <c r="C16" s="2903" t="s">
        <v>1916</v>
      </c>
      <c r="D16" s="2903"/>
      <c r="E16" s="2904">
        <v>24</v>
      </c>
      <c r="F16" s="2905"/>
      <c r="G16" s="2906"/>
      <c r="H16" s="2907">
        <f>SUM(H5:H15)</f>
      </c>
      <c r="I16" s="2902"/>
    </row>
    <row customHeight="true" ht="29" r="17">
      <c r="A17" s="2891" t="s">
        <v>1917</v>
      </c>
      <c r="B17" s="2892" t="s">
        <v>1899</v>
      </c>
      <c r="C17" s="2908" t="s">
        <v>1918</v>
      </c>
      <c r="D17" s="2909" t="s">
        <v>1919</v>
      </c>
      <c r="E17" s="2910">
        <v>3</v>
      </c>
      <c r="F17" s="2911" t="s">
        <v>1895</v>
      </c>
      <c r="G17" s="2911">
        <v>3</v>
      </c>
      <c r="H17" s="2912">
        <f t="shared" ref="H17:H22" si="3">E17-G17</f>
      </c>
      <c r="I17" s="2886"/>
    </row>
    <row customHeight="true" ht="26" r="18">
      <c r="A18" s="2891"/>
      <c r="B18" s="2892"/>
      <c r="C18" s="2908" t="s">
        <v>1920</v>
      </c>
      <c r="D18" s="2909" t="s">
        <v>1921</v>
      </c>
      <c r="E18" s="2910">
        <v>2</v>
      </c>
      <c r="F18" s="2911" t="s">
        <v>1902</v>
      </c>
      <c r="G18" s="2913">
        <v>2</v>
      </c>
      <c r="H18" s="2912">
        <f t="shared" si="3"/>
      </c>
      <c r="I18" s="2886"/>
    </row>
    <row customHeight="true" ht="27" r="19">
      <c r="A19" s="2891"/>
      <c r="B19" s="2892"/>
      <c r="C19" s="2898" t="s">
        <v>1922</v>
      </c>
      <c r="D19" s="2914" t="s">
        <v>1923</v>
      </c>
      <c r="E19" s="2899">
        <v>3</v>
      </c>
      <c r="F19" s="2900" t="s">
        <v>1902</v>
      </c>
      <c r="G19" s="2900">
        <v>3</v>
      </c>
      <c r="H19" s="2901">
        <f t="shared" si="3"/>
      </c>
      <c r="I19" s="2886"/>
    </row>
    <row customHeight="true" ht="33" r="20">
      <c r="A20" s="2891"/>
      <c r="B20" s="2892"/>
      <c r="C20" s="2915" t="s">
        <v>1924</v>
      </c>
      <c r="D20" s="2916" t="s">
        <v>1925</v>
      </c>
      <c r="E20" s="2917">
        <v>3</v>
      </c>
      <c r="F20" s="2918" t="s">
        <v>1902</v>
      </c>
      <c r="G20" s="2918">
        <v>2</v>
      </c>
      <c r="H20" s="2919">
        <f t="shared" si="3"/>
      </c>
      <c r="I20" s="2920"/>
      <c r="J20" s="2886"/>
    </row>
    <row customHeight="true" ht="36" r="21">
      <c r="A21" s="2891"/>
      <c r="B21" s="2892"/>
      <c r="C21" s="2915" t="s">
        <v>1926</v>
      </c>
      <c r="D21" s="2916" t="s">
        <v>1927</v>
      </c>
      <c r="E21" s="2917">
        <v>4</v>
      </c>
      <c r="F21" s="2918" t="s">
        <v>1928</v>
      </c>
      <c r="G21" s="2918">
        <v>5</v>
      </c>
      <c r="H21" s="2919">
        <f t="shared" si="3"/>
      </c>
      <c r="I21" s="2886"/>
      <c r="J21" s="2886"/>
    </row>
    <row customHeight="true" ht="38" r="22">
      <c r="A22" s="2891"/>
      <c r="B22" s="2892"/>
      <c r="C22" s="2915" t="s">
        <v>1929</v>
      </c>
      <c r="D22" s="2916" t="s">
        <v>1930</v>
      </c>
      <c r="E22" s="2917">
        <v>3</v>
      </c>
      <c r="F22" s="2918" t="s">
        <v>1892</v>
      </c>
      <c r="G22" s="2918">
        <v>3</v>
      </c>
      <c r="H22" s="2919">
        <f t="shared" si="3"/>
      </c>
      <c r="I22" s="2886"/>
      <c r="J22" s="2886"/>
    </row>
    <row customHeight="true" ht="23" r="23">
      <c r="A23" s="2891"/>
      <c r="B23" s="2892"/>
      <c r="C23" s="2903" t="s">
        <v>1916</v>
      </c>
      <c r="D23" s="2903"/>
      <c r="E23" s="2904">
        <v>18</v>
      </c>
      <c r="F23" s="2905"/>
      <c r="G23" s="2906"/>
      <c r="H23" s="2907">
        <f>SUM(H17:H22)</f>
      </c>
      <c r="I23" s="2902"/>
    </row>
    <row r="24">
      <c r="A24" s="2891" t="s">
        <v>1931</v>
      </c>
      <c r="B24" s="2921"/>
      <c r="C24" s="2922" t="s">
        <v>1932</v>
      </c>
      <c r="D24" s="2923" t="s">
        <v>1933</v>
      </c>
      <c r="E24" s="2883">
        <v>2</v>
      </c>
      <c r="F24" s="2884" t="s">
        <v>1902</v>
      </c>
      <c r="G24" s="2884">
        <v>1</v>
      </c>
      <c r="H24" s="2885">
        <f t="shared" ref="H24:H27" si="4">E24-G24</f>
      </c>
      <c r="I24" s="2924" t="s">
        <v>1934</v>
      </c>
    </row>
    <row customHeight="true" ht="43" r="25">
      <c r="A25" s="2891"/>
      <c r="B25" s="2921"/>
      <c r="C25" s="2922"/>
      <c r="D25" s="2925" t="s">
        <v>1935</v>
      </c>
      <c r="E25" s="2894">
        <v>2</v>
      </c>
      <c r="F25" s="2895" t="s">
        <v>1895</v>
      </c>
      <c r="G25" s="2895">
        <v>2</v>
      </c>
      <c r="H25" s="2894">
        <f t="shared" si="4"/>
      </c>
      <c r="I25" s="2924"/>
    </row>
    <row customHeight="true" ht="31" r="26">
      <c r="A26" s="2891"/>
      <c r="B26" s="2921"/>
      <c r="C26" s="2926" t="s">
        <v>1936</v>
      </c>
      <c r="D26" s="2925" t="s">
        <v>1937</v>
      </c>
      <c r="E26" s="2894">
        <v>3</v>
      </c>
      <c r="F26" s="2895" t="s">
        <v>1902</v>
      </c>
      <c r="G26" s="2895">
        <v>2</v>
      </c>
      <c r="H26" s="2894">
        <f t="shared" si="4"/>
      </c>
      <c r="I26" s="2924"/>
    </row>
    <row customHeight="true" ht="36" r="27">
      <c r="A27" s="2891"/>
      <c r="B27" s="2921"/>
      <c r="C27" s="2926" t="s">
        <v>1938</v>
      </c>
      <c r="D27" s="2925" t="s">
        <v>1939</v>
      </c>
      <c r="E27" s="2894">
        <v>3</v>
      </c>
      <c r="F27" s="2895" t="s">
        <v>1902</v>
      </c>
      <c r="G27" s="2895">
        <v>3</v>
      </c>
      <c r="H27" s="2894">
        <f t="shared" si="4"/>
      </c>
      <c r="I27" s="2924"/>
    </row>
    <row customHeight="true" ht="16" r="28">
      <c r="A28" s="2891"/>
      <c r="B28" s="2892"/>
      <c r="C28" s="2903" t="s">
        <v>1916</v>
      </c>
      <c r="D28" s="2903"/>
      <c r="E28" s="2904">
        <v>10</v>
      </c>
      <c r="F28" s="2905"/>
      <c r="G28" s="2906"/>
      <c r="H28" s="2907">
        <f>SUM(H24:H27)</f>
      </c>
      <c r="I28" s="2902"/>
    </row>
    <row customHeight="true" ht="18" r="29">
      <c r="A29" s="2927" t="s">
        <v>1940</v>
      </c>
      <c r="B29" s="2892" t="s">
        <v>1941</v>
      </c>
      <c r="C29" s="2927" t="s">
        <v>1942</v>
      </c>
      <c r="D29" s="2928" t="s">
        <v>1943</v>
      </c>
      <c r="E29" s="2929">
        <v>2</v>
      </c>
      <c r="F29" s="2930" t="s">
        <v>1944</v>
      </c>
      <c r="G29" s="2930">
        <v>2</v>
      </c>
      <c r="H29" s="2931">
        <f t="shared" ref="H29:H34" si="5">E29-G29</f>
      </c>
      <c r="I29" s="2902"/>
      <c r="J29" s="2902"/>
    </row>
    <row customHeight="true" ht="21" r="30">
      <c r="A30" s="2927"/>
      <c r="B30" s="2892"/>
      <c r="C30" s="2927" t="s">
        <v>1945</v>
      </c>
      <c r="D30" s="2928"/>
      <c r="E30" s="2929">
        <v>2</v>
      </c>
      <c r="F30" s="2930" t="s">
        <v>1944</v>
      </c>
      <c r="G30" s="2930">
        <v>2</v>
      </c>
      <c r="H30" s="2931">
        <f t="shared" si="5"/>
      </c>
      <c r="I30" s="2902"/>
      <c r="J30" s="2902"/>
    </row>
    <row customHeight="true" ht="20" r="31">
      <c r="A31" s="2927"/>
      <c r="B31" s="2892"/>
      <c r="C31" s="2927" t="s">
        <v>1946</v>
      </c>
      <c r="D31" s="2928"/>
      <c r="E31" s="2929">
        <v>2</v>
      </c>
      <c r="F31" s="2930" t="s">
        <v>1944</v>
      </c>
      <c r="G31" s="2930">
        <v>2</v>
      </c>
      <c r="H31" s="2931">
        <f t="shared" si="5"/>
      </c>
      <c r="I31" s="2902"/>
      <c r="J31" s="2902"/>
    </row>
    <row customHeight="true" ht="24" r="32">
      <c r="A32" s="2927"/>
      <c r="B32" s="2892"/>
      <c r="C32" s="2927" t="s">
        <v>1947</v>
      </c>
      <c r="D32" s="2928"/>
      <c r="E32" s="2929">
        <v>2</v>
      </c>
      <c r="F32" s="2930" t="s">
        <v>1892</v>
      </c>
      <c r="G32" s="2930"/>
      <c r="H32" s="2931">
        <f t="shared" si="5"/>
      </c>
      <c r="I32" s="2902"/>
      <c r="J32" s="2902"/>
    </row>
    <row customHeight="true" ht="24" r="33">
      <c r="A33" s="2927"/>
      <c r="B33" s="2892"/>
      <c r="C33" s="2927" t="s">
        <v>1948</v>
      </c>
      <c r="D33" s="2928"/>
      <c r="E33" s="2929">
        <v>2</v>
      </c>
      <c r="F33" s="2930" t="s">
        <v>1892</v>
      </c>
      <c r="G33" s="2930"/>
      <c r="H33" s="2931">
        <f t="shared" si="5"/>
      </c>
      <c r="I33" s="2902"/>
      <c r="J33" s="2902"/>
    </row>
    <row customHeight="true" ht="19" r="34">
      <c r="A34" s="2927"/>
      <c r="B34" s="2892"/>
      <c r="C34" s="2927" t="s">
        <v>1949</v>
      </c>
      <c r="D34" s="2928"/>
      <c r="E34" s="2929">
        <v>2</v>
      </c>
      <c r="F34" s="2930" t="s">
        <v>1892</v>
      </c>
      <c r="G34" s="2930"/>
      <c r="H34" s="2931">
        <f t="shared" si="5"/>
      </c>
      <c r="I34" s="2902"/>
      <c r="J34" s="2902"/>
    </row>
    <row customHeight="true" ht="17" r="35">
      <c r="A35" s="2887" t="s">
        <v>1897</v>
      </c>
      <c r="B35" s="2887"/>
      <c r="C35" s="2887"/>
      <c r="D35" s="2887"/>
      <c r="E35" s="2888">
        <v>12</v>
      </c>
      <c r="F35" s="2889"/>
      <c r="G35" s="2932"/>
      <c r="H35" s="2888">
        <f>SUM(H29:H34)</f>
      </c>
      <c r="I35" s="2902"/>
      <c r="J35" s="2902"/>
    </row>
    <row customHeight="true" ht="16" r="36">
      <c r="A36" s="2888" t="s">
        <v>1916</v>
      </c>
      <c r="B36" s="2888"/>
      <c r="C36" s="2888"/>
      <c r="D36" s="2888"/>
      <c r="E36" s="2888">
        <f>SUM(E4,E16,E23,E28,E35)</f>
      </c>
      <c r="F36" s="2889"/>
      <c r="G36" s="2933"/>
      <c r="H36" s="2888">
        <f>SUM(H4,H16,H23,H28,H35)</f>
      </c>
      <c r="I36" s="2886"/>
      <c r="J36" s="2902"/>
    </row>
    <row customHeight="true" ht="16" r="37">
      <c r="B37" s="2902"/>
      <c r="C37" s="2902"/>
      <c r="D37" s="2902"/>
      <c r="E37" s="2902"/>
      <c r="F37" s="2886"/>
      <c r="G37" s="2886"/>
      <c r="H37" s="2886"/>
      <c r="I37" s="2902"/>
      <c r="J37" s="2902"/>
    </row>
    <row customHeight="true" ht="16" r="38">
      <c r="B38" s="2902"/>
      <c r="C38" s="2902"/>
      <c r="D38" s="2902"/>
      <c r="E38" s="2902"/>
      <c r="F38" s="2886"/>
      <c r="G38" s="2886"/>
      <c r="H38" s="2886"/>
      <c r="I38" s="2902"/>
      <c r="J38" s="2886"/>
      <c r="K38" s="2886"/>
      <c r="L38" s="2886"/>
      <c r="M38" s="2886"/>
      <c r="N38" s="2886"/>
      <c r="O38" s="2886"/>
      <c r="P38" s="2886"/>
    </row>
    <row r="39">
      <c r="D39" s="2902"/>
      <c r="E39" s="2906" t="s">
        <v>1950</v>
      </c>
      <c r="F39" s="2934" t="s">
        <v>1883</v>
      </c>
      <c r="G39" s="2934" t="s">
        <v>1951</v>
      </c>
      <c r="H39" s="2934" t="s">
        <v>1886</v>
      </c>
      <c r="I39" s="2886"/>
      <c r="J39" s="2886"/>
      <c r="M39" s="2886"/>
    </row>
    <row r="40">
      <c r="D40" s="2902"/>
      <c r="E40" s="2935" t="s">
        <v>1944</v>
      </c>
      <c r="F40" s="2936">
        <f>SUMIF(F2:F36,"Huyền",E2:E36)</f>
      </c>
      <c r="G40" s="2936">
        <f>SUMIF(F2:F36,"Huyền",G2:G36)</f>
      </c>
      <c r="H40" s="2936">
        <f t="shared" ref="H40:H47" si="0">F40-G40</f>
      </c>
      <c r="I40" s="2886"/>
      <c r="J40" s="2886"/>
    </row>
    <row r="41">
      <c r="D41" s="2886"/>
      <c r="E41" s="2934" t="s">
        <v>1895</v>
      </c>
      <c r="F41" s="2906">
        <f>SUMIF(F2:F36,"Hoa",E2:E36)</f>
      </c>
      <c r="G41" s="2936">
        <f>SUMIF(F2:F36,"Hoa",G2:G36)</f>
      </c>
      <c r="H41" s="2906">
        <f t="shared" si="0"/>
      </c>
      <c r="I41" s="2886"/>
      <c r="J41" s="2886"/>
      <c r="K41" s="2886" t="s">
        <v>1952</v>
      </c>
      <c r="L41" s="2886" t="s">
        <v>1953</v>
      </c>
      <c r="M41" s="2886" t="s">
        <v>1954</v>
      </c>
      <c r="N41" s="2886" t="s">
        <v>1955</v>
      </c>
      <c r="O41" s="2886" t="s">
        <v>1956</v>
      </c>
      <c r="P41" s="2886" t="s">
        <v>1957</v>
      </c>
      <c r="Q41" s="2886" t="s">
        <v>1895</v>
      </c>
      <c r="R41" s="2886" t="s">
        <v>1902</v>
      </c>
      <c r="S41" s="2886" t="s">
        <v>1958</v>
      </c>
      <c r="T41" s="2886" t="s">
        <v>1959</v>
      </c>
      <c r="U41" s="2886"/>
      <c r="V41" s="2886"/>
    </row>
    <row r="42">
      <c r="D42" s="2886"/>
      <c r="E42" s="2906" t="s">
        <v>1892</v>
      </c>
      <c r="F42" s="2937">
        <f>SUMIF(F2:F36,"Thúy",E2:E36)</f>
      </c>
      <c r="G42" s="2936">
        <f>SUMIF(F2:F36,"Thúy",G2:G36)</f>
      </c>
      <c r="H42" s="2906">
        <f t="shared" si="0"/>
      </c>
      <c r="I42" s="2886"/>
      <c r="J42" s="2886" t="s">
        <v>1960</v>
      </c>
      <c r="K42" s="2886">
        <v>10</v>
      </c>
      <c r="L42" s="2886">
        <v>25</v>
      </c>
      <c r="M42" s="2886">
        <v>5</v>
      </c>
      <c r="N42" s="2886"/>
      <c r="O42" s="2886">
        <v>10</v>
      </c>
      <c r="P42" s="2886"/>
      <c r="S42" s="2886"/>
      <c r="T42">
        <f t="shared" ref="T42:T47" si="1">SUM(K42:S42)</f>
      </c>
    </row>
    <row r="43">
      <c r="D43" s="2886"/>
      <c r="E43" s="2934" t="s">
        <v>1961</v>
      </c>
      <c r="F43" s="2938">
        <f>SUMIF(F2:F36,"Ngân",E2:E36)</f>
      </c>
      <c r="G43" s="2936">
        <f>SUMIF(F2:F36,"Ngân",G2:G36)</f>
      </c>
      <c r="H43" s="2939">
        <f t="shared" si="0"/>
      </c>
      <c r="I43" s="2886"/>
      <c r="J43" s="2886" t="s">
        <v>1962</v>
      </c>
      <c r="L43" s="2886"/>
      <c r="O43" s="2886">
        <v>15</v>
      </c>
      <c r="P43" s="2886"/>
      <c r="S43" s="2886">
        <v>25</v>
      </c>
      <c r="T43">
        <f t="shared" si="1"/>
      </c>
    </row>
    <row customHeight="true" ht="16" r="44">
      <c r="D44" s="2902"/>
      <c r="E44" s="2940" t="s">
        <v>1928</v>
      </c>
      <c r="F44" s="2941">
        <f>SUMIF(F2:F36,"Thi",E2:E36)</f>
      </c>
      <c r="G44" s="2936">
        <f>SUMIF(F2:F36,"Thi",G2:G36)</f>
      </c>
      <c r="H44" s="2942">
        <f t="shared" si="0"/>
      </c>
      <c r="I44" s="2886"/>
      <c r="J44" s="2886" t="s">
        <v>1963</v>
      </c>
      <c r="M44" s="2886">
        <v>20</v>
      </c>
      <c r="P44" s="2886"/>
      <c r="Q44" s="2886"/>
      <c r="T44">
        <f t="shared" si="1"/>
      </c>
    </row>
    <row customHeight="true" ht="16" r="45">
      <c r="D45" s="2902"/>
      <c r="E45" s="2943" t="s">
        <v>1902</v>
      </c>
      <c r="F45" s="2944">
        <f>SUMIF(F2:F36,"Phương",E2:E36)</f>
      </c>
      <c r="G45" s="2936">
        <f>SUMIF(F2:F36,"Phương",G2:G36)</f>
      </c>
      <c r="H45" s="2945">
        <f t="shared" si="0"/>
      </c>
      <c r="I45" s="2886"/>
      <c r="J45" s="2886" t="s">
        <v>1964</v>
      </c>
      <c r="K45" s="2886">
        <v>15</v>
      </c>
      <c r="L45" s="2886"/>
      <c r="T45">
        <f t="shared" si="1"/>
      </c>
    </row>
    <row r="46">
      <c r="D46" s="2902"/>
      <c r="E46" s="2943" t="s">
        <v>1956</v>
      </c>
      <c r="F46" s="2944">
        <f>SUMIF(F2:F37,"Mai",E2:E37)</f>
      </c>
      <c r="G46" s="2936">
        <f>SUMIF(F2:F36,"Mai",G2:G36)</f>
      </c>
      <c r="H46" s="2945">
        <f t="shared" si="0"/>
      </c>
      <c r="I46" s="2886"/>
      <c r="J46" s="2886" t="s">
        <v>1965</v>
      </c>
      <c r="M46" s="2886"/>
      <c r="O46" s="2886"/>
      <c r="P46" s="2886">
        <v>20</v>
      </c>
      <c r="Q46" s="2886">
        <v>20</v>
      </c>
      <c r="R46" s="2886">
        <v>20</v>
      </c>
      <c r="S46" s="2886"/>
      <c r="T46">
        <f t="shared" si="1"/>
      </c>
    </row>
    <row r="47">
      <c r="D47" s="2886"/>
      <c r="E47" s="2946" t="s">
        <v>1916</v>
      </c>
      <c r="F47" s="2947">
        <f>SUM(F40:F46)</f>
      </c>
      <c r="G47" s="2936">
        <f>SUM(G40:G46)</f>
      </c>
      <c r="H47" s="2947">
        <f t="shared" si="0"/>
      </c>
      <c r="I47" s="2886"/>
      <c r="J47" s="2886" t="s">
        <v>1897</v>
      </c>
      <c r="K47">
        <f>SUM(K42:K46)</f>
      </c>
      <c r="L47">
        <f>SUM(L42:L46)</f>
      </c>
      <c r="M47">
        <f>SUM(M42:M46)</f>
      </c>
      <c r="N47">
        <f>SUM(N42:N46)</f>
      </c>
      <c r="O47">
        <f>SUM(O42:O46)</f>
      </c>
      <c r="P47">
        <f>SUM(P42:P46)</f>
      </c>
      <c r="Q47">
        <f>SUM(Q42:Q46)</f>
      </c>
      <c r="R47">
        <f>SUM(R42:R46)</f>
      </c>
      <c r="S47">
        <f>SUM(S42:S46)</f>
      </c>
      <c r="T47">
        <f t="shared" si="1"/>
      </c>
    </row>
    <row r="48">
      <c r="F48" s="2902"/>
      <c r="G48" s="2902"/>
      <c r="H48" s="2902"/>
      <c r="I48" s="2886"/>
      <c r="L48" s="2886"/>
      <c r="N48" s="2886"/>
    </row>
    <row r="49">
      <c r="J49" s="2886"/>
      <c r="K49" s="2886"/>
      <c r="L49" s="2886"/>
      <c r="M49" s="2886"/>
      <c r="N49" s="2886"/>
      <c r="O49" s="2886"/>
      <c r="P49" s="2886"/>
      <c r="Q49" s="2886"/>
      <c r="R49" s="2886"/>
      <c r="S49" s="2886"/>
      <c r="T49" s="2886"/>
    </row>
    <row r="50">
      <c r="J50" s="2886"/>
      <c r="K50" s="2886"/>
      <c r="L50" s="2886"/>
      <c r="M50" s="2886"/>
      <c r="N50" s="2886"/>
      <c r="O50" s="2886"/>
      <c r="P50" s="2886"/>
    </row>
    <row r="51">
      <c r="J51" s="2886"/>
      <c r="L51" s="2886"/>
      <c r="N51" s="2886"/>
      <c r="O51" s="2886"/>
      <c r="P51" s="2886"/>
      <c r="S51" s="2886"/>
    </row>
    <row r="52">
      <c r="J52" s="2886"/>
      <c r="M52" s="2886"/>
      <c r="Q52" s="2886"/>
    </row>
    <row r="53">
      <c r="J53" s="2886"/>
      <c r="K53" s="2886"/>
      <c r="L53" s="2886"/>
    </row>
    <row r="54">
      <c r="J54" s="2886"/>
      <c r="M54" s="2886"/>
      <c r="O54" s="2886"/>
      <c r="P54" s="2886"/>
      <c r="Q54" s="2886"/>
      <c r="R54" s="2886"/>
      <c r="S54" s="2886"/>
    </row>
    <row r="55">
      <c r="J55" s="2886"/>
    </row>
  </sheetData>
  <mergeCells>
    <mergeCell ref="B2:B3"/>
    <mergeCell ref="A2:A3"/>
    <mergeCell ref="D6:D9"/>
    <mergeCell ref="A4:D4"/>
    <mergeCell ref="C16:D16"/>
    <mergeCell ref="D10:D14"/>
    <mergeCell ref="B5:B14"/>
    <mergeCell ref="A5:A15"/>
    <mergeCell ref="A29:A34"/>
    <mergeCell ref="B29:B34"/>
    <mergeCell ref="D29:D34"/>
    <mergeCell ref="A36:D36"/>
    <mergeCell ref="A35:D35"/>
    <mergeCell ref="B17:B22"/>
    <mergeCell ref="A17:A22"/>
    <mergeCell ref="C28:D28"/>
    <mergeCell ref="B24:B27"/>
    <mergeCell ref="A24:A27"/>
    <mergeCell ref="I24:I27"/>
    <mergeCell ref="C23:D23"/>
    <mergeCell ref="C24:C25"/>
  </mergeCells>
  <picture r:id="rId1"/>
</worksheet>
</file>

<file path=xl/worksheets/sheet2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18" min="18" style="0" width="7"/>
    <col collapsed="false" customWidth="true" hidden="false" max="22" min="22" style="0" width="11"/>
    <col collapsed="false" customWidth="true" hidden="false" max="2" min="2" style="0" width="22"/>
    <col collapsed="false" customWidth="true" hidden="false" max="6" min="6" style="0" width="11"/>
    <col collapsed="false" customWidth="true" hidden="false" max="10" min="10" style="0" width="5"/>
    <col collapsed="false" customWidth="true" hidden="false" max="14" min="14" style="0" width="7"/>
    <col collapsed="false" customWidth="true" hidden="false" max="19" min="19" style="0" width="10"/>
    <col collapsed="false" customWidth="true" hidden="false" max="3" min="3" style="0" width="22"/>
    <col collapsed="false" customWidth="true" hidden="false" max="7" min="7" style="0" width="11"/>
    <col collapsed="false" customWidth="true" hidden="false" max="11" min="11" style="0" width="8"/>
    <col collapsed="false" customWidth="true" hidden="false" max="15" min="15" style="0" width="7"/>
    <col collapsed="false" customWidth="true" hidden="false" max="4" min="4" style="0" width="29"/>
    <col collapsed="false" customWidth="true" hidden="false" max="8" min="8" style="0" width="11"/>
    <col collapsed="false" customWidth="true" hidden="false" max="12" min="12" style="0" width="7"/>
    <col collapsed="false" customWidth="true" hidden="false" max="16" min="16" style="0" width="6"/>
    <col collapsed="false" customWidth="true" hidden="false" max="17" min="17" style="0" width="6"/>
    <col collapsed="false" customWidth="true" hidden="false" max="21" min="21" style="0" width="11"/>
    <col collapsed="false" customWidth="true" hidden="false" max="1" min="1" style="0" width="22"/>
    <col collapsed="false" customWidth="true" hidden="false" max="5" min="5" style="0" width="11"/>
    <col collapsed="false" customWidth="true" hidden="false" max="9" min="9" style="0" width="18"/>
    <col collapsed="false" customWidth="true" hidden="false" max="13" min="13" style="0" width="7"/>
  </cols>
  <sheetData>
    <row r="1">
      <c r="A1" s="2948"/>
      <c r="B1" s="2948" t="s">
        <v>1966</v>
      </c>
      <c r="C1" s="2949" t="s">
        <v>1967</v>
      </c>
      <c r="D1" s="2948" t="s">
        <v>1968</v>
      </c>
      <c r="E1" s="2950" t="s">
        <v>1969</v>
      </c>
      <c r="F1" s="2951" t="s">
        <v>1970</v>
      </c>
      <c r="G1" s="2948" t="s">
        <v>1971</v>
      </c>
      <c r="H1" s="2948" t="s">
        <v>1972</v>
      </c>
      <c r="I1" s="2952" t="s">
        <v>1973</v>
      </c>
      <c r="J1" s="2953"/>
    </row>
    <row customHeight="true" ht="30" r="2">
      <c r="A2" s="2954" t="s">
        <v>1974</v>
      </c>
      <c r="B2" s="2955" t="s">
        <v>1975</v>
      </c>
      <c r="C2" s="2954" t="s">
        <v>1976</v>
      </c>
      <c r="D2" s="2956" t="s">
        <v>1977</v>
      </c>
      <c r="E2" s="2957">
        <v>2</v>
      </c>
      <c r="F2" s="2958" t="s">
        <v>1978</v>
      </c>
      <c r="G2" s="2958"/>
      <c r="H2" s="2959">
        <f t="shared" ref="H2:H9" si="0">E2-G2</f>
      </c>
      <c r="I2" s="2960" t="s">
        <v>1979</v>
      </c>
    </row>
    <row customHeight="true" ht="37" r="3">
      <c r="A3" s="2954"/>
      <c r="B3" s="2955"/>
      <c r="C3" s="2954" t="s">
        <v>1980</v>
      </c>
      <c r="D3" s="2956" t="s">
        <v>1977</v>
      </c>
      <c r="E3" s="2957">
        <v>3</v>
      </c>
      <c r="F3" s="2958" t="s">
        <v>1981</v>
      </c>
      <c r="G3" s="2958">
        <v>2</v>
      </c>
      <c r="H3" s="2959">
        <f t="shared" si="0"/>
      </c>
      <c r="I3" s="2960" t="s">
        <v>1982</v>
      </c>
    </row>
    <row customHeight="true" ht="37" r="4">
      <c r="A4" s="2954"/>
      <c r="B4" s="2955"/>
      <c r="C4" s="2954" t="s">
        <v>1983</v>
      </c>
      <c r="D4" s="2956" t="s">
        <v>1984</v>
      </c>
      <c r="E4" s="2957">
        <v>3</v>
      </c>
      <c r="F4" s="2958" t="s">
        <v>1985</v>
      </c>
      <c r="G4" s="2961">
        <v>1</v>
      </c>
      <c r="H4" s="2959">
        <f t="shared" si="0"/>
      </c>
      <c r="I4" s="2960"/>
    </row>
    <row customHeight="true" ht="16" r="5">
      <c r="A5" s="2962" t="s">
        <v>1986</v>
      </c>
      <c r="B5" s="2962"/>
      <c r="C5" s="2962"/>
      <c r="D5" s="2962"/>
      <c r="E5" s="2963">
        <f>SUM(E2:E4)</f>
      </c>
      <c r="F5" s="2964"/>
      <c r="G5" s="2963"/>
      <c r="H5" s="2963">
        <f t="shared" si="0"/>
      </c>
      <c r="I5" s="2960"/>
      <c r="K5" s="2965"/>
    </row>
    <row customHeight="true" ht="30" r="6">
      <c r="A6" s="2966" t="s">
        <v>1987</v>
      </c>
      <c r="B6" s="2967" t="s">
        <v>1988</v>
      </c>
      <c r="C6" s="2966" t="s">
        <v>1989</v>
      </c>
      <c r="D6" s="2966" t="s">
        <v>1990</v>
      </c>
      <c r="E6" s="2968">
        <v>2</v>
      </c>
      <c r="F6" s="2969" t="s">
        <v>1981</v>
      </c>
      <c r="G6" s="2969"/>
      <c r="H6" s="2970">
        <f t="shared" si="0"/>
      </c>
      <c r="I6" s="2971"/>
      <c r="K6" s="2965"/>
    </row>
    <row customHeight="true" ht="21" r="7">
      <c r="A7" s="2972"/>
      <c r="B7" s="2973"/>
      <c r="C7" s="2966" t="s">
        <v>1991</v>
      </c>
      <c r="D7" s="2966"/>
      <c r="E7" s="2968">
        <v>2</v>
      </c>
      <c r="F7" s="2969" t="s">
        <v>1978</v>
      </c>
      <c r="G7" s="2969">
        <v>2</v>
      </c>
      <c r="H7" s="2970">
        <f t="shared" si="0"/>
      </c>
      <c r="I7" s="2971"/>
      <c r="K7" s="2965"/>
    </row>
    <row customHeight="true" ht="26" r="8">
      <c r="A8" s="2972"/>
      <c r="B8" s="2973"/>
      <c r="C8" s="2966" t="s">
        <v>1992</v>
      </c>
      <c r="D8" s="2966"/>
      <c r="E8" s="2968">
        <v>2</v>
      </c>
      <c r="F8" s="2969" t="s">
        <v>1978</v>
      </c>
      <c r="G8" s="2969">
        <v>1</v>
      </c>
      <c r="H8" s="2970">
        <f t="shared" si="0"/>
      </c>
      <c r="I8" s="2971"/>
      <c r="K8" s="2965"/>
    </row>
    <row customHeight="true" ht="29" r="9">
      <c r="A9" s="2972"/>
      <c r="B9" s="2973"/>
      <c r="C9" s="2966" t="s">
        <v>1993</v>
      </c>
      <c r="D9" s="2966"/>
      <c r="E9" s="2968">
        <v>2</v>
      </c>
      <c r="F9" s="2969" t="s">
        <v>1978</v>
      </c>
      <c r="G9" s="2969">
        <v>3</v>
      </c>
      <c r="H9" s="2970">
        <f t="shared" si="0"/>
      </c>
      <c r="I9" s="2960"/>
      <c r="K9" s="2965"/>
    </row>
    <row customHeight="true" ht="16" r="10">
      <c r="A10" s="2962"/>
      <c r="B10" s="2962"/>
      <c r="C10" s="2974" t="s">
        <v>1994</v>
      </c>
      <c r="D10" s="2974"/>
      <c r="E10" s="2963">
        <f>SUM(E6:E9)</f>
      </c>
      <c r="F10" s="2975"/>
      <c r="G10" s="2976"/>
      <c r="H10" s="2977">
        <f>SUM(H6:H9)</f>
      </c>
      <c r="I10" s="2978"/>
    </row>
    <row customHeight="true" ht="29" r="11">
      <c r="A11" s="2966" t="s">
        <v>1995</v>
      </c>
      <c r="B11" s="2967" t="s">
        <v>1996</v>
      </c>
      <c r="C11" s="2979" t="s">
        <v>1989</v>
      </c>
      <c r="D11" s="2980" t="s">
        <v>1997</v>
      </c>
      <c r="E11" s="2981">
        <v>2</v>
      </c>
      <c r="F11" s="2982" t="s">
        <v>1981</v>
      </c>
      <c r="G11" s="2982"/>
      <c r="H11" s="2983">
        <f t="shared" ref="H11:H18" si="1">E11-G11</f>
      </c>
      <c r="I11" s="2960"/>
    </row>
    <row customHeight="true" ht="26" r="12">
      <c r="A12" s="2966"/>
      <c r="B12" s="2967"/>
      <c r="C12" s="2979" t="s">
        <v>1998</v>
      </c>
      <c r="D12" s="2980"/>
      <c r="E12" s="2981">
        <v>2</v>
      </c>
      <c r="F12" s="2982" t="s">
        <v>1978</v>
      </c>
      <c r="G12" s="2982"/>
      <c r="H12" s="2983">
        <f t="shared" si="1"/>
      </c>
      <c r="I12" s="2960" t="s">
        <v>1999</v>
      </c>
    </row>
    <row customHeight="true" ht="27" r="13">
      <c r="A13" s="2966"/>
      <c r="B13" s="2967"/>
      <c r="C13" s="2979" t="s">
        <v>2000</v>
      </c>
      <c r="D13" s="2980"/>
      <c r="E13" s="2981">
        <v>2</v>
      </c>
      <c r="F13" s="2982" t="s">
        <v>1978</v>
      </c>
      <c r="G13" s="2982">
        <v>2</v>
      </c>
      <c r="H13" s="2983">
        <f t="shared" si="1"/>
      </c>
      <c r="I13" s="2960"/>
    </row>
    <row customHeight="true" ht="33" r="14">
      <c r="A14" s="2966"/>
      <c r="B14" s="2967"/>
      <c r="C14" s="2984" t="s">
        <v>1993</v>
      </c>
      <c r="D14" s="2985" t="s">
        <v>2001</v>
      </c>
      <c r="E14" s="2986">
        <v>2</v>
      </c>
      <c r="F14" s="2987" t="s">
        <v>1978</v>
      </c>
      <c r="G14" s="2987">
        <v>2</v>
      </c>
      <c r="H14" s="2988">
        <f t="shared" si="1"/>
      </c>
      <c r="I14" s="2989"/>
      <c r="J14" s="2960"/>
    </row>
    <row customHeight="true" ht="36" r="15">
      <c r="A15" s="2966"/>
      <c r="B15" s="2967"/>
      <c r="C15" s="2990" t="s">
        <v>2000</v>
      </c>
      <c r="D15" s="2985"/>
      <c r="E15" s="2986">
        <v>2</v>
      </c>
      <c r="F15" s="2987" t="s">
        <v>1981</v>
      </c>
      <c r="G15" s="2987"/>
      <c r="H15" s="2988">
        <f t="shared" si="1"/>
      </c>
      <c r="I15" s="2960"/>
      <c r="J15" s="2960"/>
    </row>
    <row customHeight="true" ht="44" r="16">
      <c r="A16" s="2966"/>
      <c r="B16" s="2967"/>
      <c r="C16" s="2984" t="s">
        <v>2002</v>
      </c>
      <c r="D16" s="2985"/>
      <c r="E16" s="2986">
        <v>2</v>
      </c>
      <c r="F16" s="2987" t="s">
        <v>1985</v>
      </c>
      <c r="G16" s="2987"/>
      <c r="H16" s="2988">
        <f t="shared" si="1"/>
      </c>
      <c r="I16" s="2960"/>
      <c r="J16" s="2960"/>
    </row>
    <row customHeight="true" ht="44" r="17">
      <c r="A17" s="2966"/>
      <c r="B17" s="2967"/>
      <c r="C17" s="2984" t="s">
        <v>2003</v>
      </c>
      <c r="D17" s="2985"/>
      <c r="E17" s="2986">
        <v>2</v>
      </c>
      <c r="F17" s="2987" t="s">
        <v>1985</v>
      </c>
      <c r="G17" s="2991">
        <v>2</v>
      </c>
      <c r="H17" s="2988">
        <f t="shared" si="1"/>
      </c>
      <c r="I17" s="2960"/>
      <c r="J17" s="2960"/>
    </row>
    <row customHeight="true" ht="44" r="18">
      <c r="A18" s="2966"/>
      <c r="B18" s="2967"/>
      <c r="C18" s="2984" t="s">
        <v>2004</v>
      </c>
      <c r="D18" s="2985"/>
      <c r="E18" s="2986">
        <v>2</v>
      </c>
      <c r="F18" s="2987" t="s">
        <v>1985</v>
      </c>
      <c r="G18" s="2987"/>
      <c r="H18" s="2988">
        <f t="shared" si="1"/>
      </c>
      <c r="I18" s="2960"/>
      <c r="J18" s="2960"/>
    </row>
    <row customHeight="true" ht="18" r="19">
      <c r="A19" s="2962"/>
      <c r="B19" s="2962"/>
      <c r="C19" s="2974" t="s">
        <v>1994</v>
      </c>
      <c r="D19" s="2974"/>
      <c r="E19" s="2963">
        <f>SUM(E11:E18)</f>
      </c>
      <c r="F19" s="2975"/>
      <c r="G19" s="2976"/>
      <c r="H19" s="2977">
        <f>SUM(H11:H18)</f>
      </c>
      <c r="I19" s="2978"/>
    </row>
    <row customHeight="true" hidden="true" ht="16" r="20">
      <c r="A20" s="2966" t="s">
        <v>2005</v>
      </c>
      <c r="B20" s="2992"/>
      <c r="C20" s="2993" t="s">
        <v>2006</v>
      </c>
      <c r="D20" s="2994" t="s">
        <v>2007</v>
      </c>
      <c r="E20" s="2957">
        <v>4</v>
      </c>
      <c r="F20" s="2958" t="s">
        <v>2008</v>
      </c>
      <c r="G20" s="2958"/>
      <c r="H20" s="2959">
        <f t="shared" ref="H20:H26" si="2">E20-G20</f>
      </c>
      <c r="I20" s="2995"/>
    </row>
    <row customHeight="true" hidden="true" ht="43" r="21">
      <c r="A21" s="2966"/>
      <c r="B21" s="2992"/>
      <c r="C21" s="2993" t="s">
        <v>2009</v>
      </c>
      <c r="D21" s="2994" t="s">
        <v>2010</v>
      </c>
      <c r="E21" s="2957">
        <v>4</v>
      </c>
      <c r="F21" s="2958" t="s">
        <v>2008</v>
      </c>
      <c r="G21" s="2958"/>
      <c r="H21" s="2957">
        <f t="shared" si="2"/>
      </c>
      <c r="I21" s="2995"/>
    </row>
    <row customHeight="true" hidden="true" ht="43" r="22">
      <c r="A22" s="2966"/>
      <c r="B22" s="2992"/>
      <c r="C22" s="2993" t="s">
        <v>2011</v>
      </c>
      <c r="D22" s="2994" t="s">
        <v>2012</v>
      </c>
      <c r="E22" s="2957">
        <v>4</v>
      </c>
      <c r="F22" s="2958" t="s">
        <v>2008</v>
      </c>
      <c r="G22" s="2958"/>
      <c r="H22" s="2957">
        <f t="shared" si="2"/>
      </c>
      <c r="I22" s="2995"/>
    </row>
    <row customHeight="true" hidden="true" ht="31" r="23">
      <c r="A23" s="2966"/>
      <c r="B23" s="2992"/>
      <c r="C23" s="2996" t="s">
        <v>2013</v>
      </c>
      <c r="D23" s="2997" t="s">
        <v>2014</v>
      </c>
      <c r="E23" s="2968">
        <v>4</v>
      </c>
      <c r="F23" s="2969" t="s">
        <v>2008</v>
      </c>
      <c r="G23" s="2969"/>
      <c r="H23" s="2968">
        <f t="shared" si="2"/>
      </c>
      <c r="I23" s="2995"/>
    </row>
    <row customHeight="true" hidden="true" ht="31" r="24">
      <c r="A24" s="2966"/>
      <c r="B24" s="2992"/>
      <c r="C24" s="2996" t="s">
        <v>2015</v>
      </c>
      <c r="D24" s="2997" t="s">
        <v>2014</v>
      </c>
      <c r="E24" s="2968">
        <v>4</v>
      </c>
      <c r="F24" s="2969" t="s">
        <v>2008</v>
      </c>
      <c r="G24" s="2969"/>
      <c r="H24" s="2968">
        <f t="shared" si="2"/>
      </c>
      <c r="I24" s="2995"/>
    </row>
    <row customHeight="true" hidden="true" ht="31" r="25">
      <c r="A25" s="2966"/>
      <c r="B25" s="2992"/>
      <c r="C25" s="2996" t="s">
        <v>2016</v>
      </c>
      <c r="D25" s="2997" t="s">
        <v>2014</v>
      </c>
      <c r="E25" s="2968">
        <v>4</v>
      </c>
      <c r="F25" s="2969" t="s">
        <v>2008</v>
      </c>
      <c r="G25" s="2969"/>
      <c r="H25" s="2968">
        <f t="shared" si="2"/>
      </c>
      <c r="I25" s="2995"/>
    </row>
    <row customHeight="true" hidden="true" ht="36" r="26">
      <c r="A26" s="2966"/>
      <c r="B26" s="2992"/>
      <c r="C26" s="2998" t="s">
        <v>2017</v>
      </c>
      <c r="D26" s="2999" t="s">
        <v>2018</v>
      </c>
      <c r="E26" s="2981">
        <v>6</v>
      </c>
      <c r="F26" s="2982" t="s">
        <v>2008</v>
      </c>
      <c r="G26" s="2982"/>
      <c r="H26" s="2981">
        <f t="shared" si="2"/>
      </c>
      <c r="I26" s="2995"/>
    </row>
    <row customHeight="true" ht="16" r="27">
      <c r="A27" s="2962"/>
      <c r="B27" s="2962"/>
      <c r="C27" s="2974" t="s">
        <v>1994</v>
      </c>
      <c r="D27" s="2974"/>
      <c r="E27" s="2963">
        <f>SUM(E20:E26)</f>
      </c>
      <c r="F27" s="2975"/>
      <c r="G27" s="2976"/>
      <c r="H27" s="2977">
        <f>SUM(H20:H26)</f>
      </c>
      <c r="I27" s="2978"/>
    </row>
    <row customHeight="true" ht="18" r="28">
      <c r="A28" s="3000" t="s">
        <v>2019</v>
      </c>
      <c r="B28" s="2967" t="s">
        <v>2020</v>
      </c>
      <c r="C28" s="3000" t="s">
        <v>2021</v>
      </c>
      <c r="D28" s="3001" t="s">
        <v>2022</v>
      </c>
      <c r="E28" s="3002">
        <v>2</v>
      </c>
      <c r="F28" s="3003" t="s">
        <v>1978</v>
      </c>
      <c r="G28" s="3003"/>
      <c r="H28" s="3004">
        <f t="shared" ref="H28:H32" si="3">E28-G28</f>
      </c>
      <c r="I28" s="2978"/>
      <c r="J28" s="2978"/>
    </row>
    <row customHeight="true" ht="21" r="29">
      <c r="A29" s="3000"/>
      <c r="B29" s="2967"/>
      <c r="C29" s="3000" t="s">
        <v>2023</v>
      </c>
      <c r="D29" s="3001"/>
      <c r="E29" s="3002">
        <v>1</v>
      </c>
      <c r="F29" s="3003" t="s">
        <v>1978</v>
      </c>
      <c r="G29" s="3003"/>
      <c r="H29" s="3004">
        <f t="shared" si="3"/>
      </c>
      <c r="I29" s="2978"/>
      <c r="J29" s="2978"/>
    </row>
    <row customHeight="true" ht="20" r="30">
      <c r="A30" s="3000"/>
      <c r="B30" s="2967"/>
      <c r="C30" s="3000" t="s">
        <v>2024</v>
      </c>
      <c r="D30" s="3001"/>
      <c r="E30" s="3002">
        <v>1</v>
      </c>
      <c r="F30" s="3003" t="s">
        <v>1978</v>
      </c>
      <c r="G30" s="3003"/>
      <c r="H30" s="3004">
        <f t="shared" si="3"/>
      </c>
      <c r="I30" s="2978"/>
      <c r="J30" s="2978"/>
    </row>
    <row customHeight="true" ht="24" r="31">
      <c r="A31" s="3000"/>
      <c r="B31" s="2967"/>
      <c r="C31" s="3000" t="s">
        <v>2025</v>
      </c>
      <c r="D31" s="3001"/>
      <c r="E31" s="3002">
        <v>3</v>
      </c>
      <c r="F31" s="3003" t="s">
        <v>1978</v>
      </c>
      <c r="G31" s="3003"/>
      <c r="H31" s="3004">
        <f t="shared" si="3"/>
      </c>
      <c r="I31" s="2960" t="s">
        <v>2026</v>
      </c>
      <c r="J31" s="2978"/>
    </row>
    <row customHeight="true" ht="24" r="32">
      <c r="A32" s="3000"/>
      <c r="B32" s="2967"/>
      <c r="C32" s="3000" t="s">
        <v>2027</v>
      </c>
      <c r="D32" s="3001"/>
      <c r="E32" s="3002">
        <v>3</v>
      </c>
      <c r="F32" s="3003" t="s">
        <v>1978</v>
      </c>
      <c r="G32" s="3003"/>
      <c r="H32" s="3004">
        <f t="shared" si="3"/>
      </c>
      <c r="I32" s="2960" t="s">
        <v>2026</v>
      </c>
      <c r="J32" s="2978"/>
    </row>
    <row customHeight="true" ht="17" r="33">
      <c r="A33" s="2962" t="s">
        <v>1986</v>
      </c>
      <c r="B33" s="2962"/>
      <c r="C33" s="2962"/>
      <c r="D33" s="2962"/>
      <c r="E33" s="2963">
        <f>SUM(E28:E32)</f>
      </c>
      <c r="F33" s="2964"/>
      <c r="G33" s="2976"/>
      <c r="H33" s="2963">
        <f>SUM(H28:H32)</f>
      </c>
      <c r="I33" s="2978"/>
      <c r="J33" s="2978"/>
    </row>
    <row customHeight="true" ht="16" r="34">
      <c r="A34" s="2963" t="s">
        <v>1994</v>
      </c>
      <c r="B34" s="2963"/>
      <c r="C34" s="2963"/>
      <c r="D34" s="2963"/>
      <c r="E34" s="2963">
        <f>SUM(E5,E10,E19,E27,E33)</f>
      </c>
      <c r="F34" s="2964"/>
      <c r="G34" s="3005"/>
      <c r="H34" s="2963">
        <f>SUM(H5,H10,H19,H27,H33)</f>
      </c>
      <c r="I34" s="2960"/>
      <c r="J34" s="2978"/>
    </row>
    <row customHeight="true" ht="16" r="35">
      <c r="B35" s="2978"/>
      <c r="C35" s="2978"/>
      <c r="D35" s="2978"/>
      <c r="E35" s="2978"/>
      <c r="F35" s="2960"/>
      <c r="G35" s="2960"/>
      <c r="H35" s="2960"/>
      <c r="I35" s="2978"/>
      <c r="J35" s="2978"/>
    </row>
    <row customHeight="true" ht="16" r="36">
      <c r="B36" s="2978"/>
      <c r="C36" s="2978"/>
      <c r="D36" s="2978"/>
      <c r="E36" s="2978"/>
      <c r="F36" s="2960"/>
      <c r="G36" s="2960"/>
      <c r="H36" s="2960"/>
      <c r="I36" s="2978"/>
      <c r="J36" s="2960"/>
      <c r="K36" s="2960"/>
      <c r="L36" s="2960"/>
      <c r="M36" s="2960"/>
      <c r="N36" s="2960"/>
      <c r="O36" s="2960"/>
      <c r="P36" s="2960"/>
    </row>
    <row r="37">
      <c r="D37" s="2978"/>
      <c r="E37" s="3006" t="s">
        <v>2028</v>
      </c>
      <c r="F37" s="3007" t="s">
        <v>1969</v>
      </c>
      <c r="G37" s="3007" t="s">
        <v>2029</v>
      </c>
      <c r="H37" s="3007" t="s">
        <v>1972</v>
      </c>
      <c r="I37" s="2960"/>
      <c r="J37" s="2960"/>
      <c r="M37" s="2960"/>
    </row>
    <row r="38">
      <c r="D38" s="2978"/>
      <c r="E38" s="3008" t="s">
        <v>2030</v>
      </c>
      <c r="F38" s="3009">
        <f>SUMIF(F2:F34,"Huyền",E2:E34)</f>
      </c>
      <c r="G38" s="3009">
        <f>SUMIF(F2:F34,"Huyền",G2:G34)</f>
      </c>
      <c r="H38" s="3009">
        <f t="shared" ref="H38:H45" si="4">F38-G38</f>
      </c>
      <c r="I38" s="2960"/>
      <c r="J38" s="2960"/>
    </row>
    <row r="39">
      <c r="D39" s="2960"/>
      <c r="E39" s="3007" t="s">
        <v>1981</v>
      </c>
      <c r="F39" s="3006">
        <f>SUMIF(F2:F34,"Hoa",E2:E34)</f>
      </c>
      <c r="G39" s="3009">
        <f>SUMIF(F2:F34,"Hoa",G2:G34)</f>
      </c>
      <c r="H39" s="3006">
        <f t="shared" si="4"/>
      </c>
      <c r="I39" s="2960"/>
      <c r="J39" s="2960"/>
      <c r="K39" s="2960" t="s">
        <v>2031</v>
      </c>
      <c r="L39" s="2960" t="s">
        <v>2032</v>
      </c>
      <c r="M39" s="2960" t="s">
        <v>2033</v>
      </c>
      <c r="N39" s="2960" t="s">
        <v>2034</v>
      </c>
      <c r="O39" s="2960" t="s">
        <v>2035</v>
      </c>
      <c r="P39" s="2960" t="s">
        <v>2036</v>
      </c>
      <c r="Q39" s="2960" t="s">
        <v>1981</v>
      </c>
      <c r="R39" s="2960" t="s">
        <v>2008</v>
      </c>
      <c r="S39" s="2960" t="s">
        <v>2037</v>
      </c>
      <c r="T39" s="2960" t="s">
        <v>2038</v>
      </c>
      <c r="U39" s="2960"/>
      <c r="V39" s="2960"/>
    </row>
    <row r="40">
      <c r="D40" s="2960"/>
      <c r="E40" s="3006" t="s">
        <v>1978</v>
      </c>
      <c r="F40" s="3010">
        <f>SUMIF(F2:F34,"Thúy",E2:E34)</f>
      </c>
      <c r="G40" s="3009">
        <f>SUMIF(F2:F34,"Thúy",G2:G34)</f>
      </c>
      <c r="H40" s="3006">
        <f t="shared" si="4"/>
      </c>
      <c r="I40" s="2960"/>
      <c r="J40" s="2960" t="s">
        <v>2039</v>
      </c>
      <c r="K40" s="2960">
        <v>10</v>
      </c>
      <c r="L40" s="2960">
        <v>25</v>
      </c>
      <c r="M40" s="2960">
        <v>5</v>
      </c>
      <c r="N40" s="2960"/>
      <c r="O40" s="2960">
        <v>10</v>
      </c>
      <c r="P40" s="2960"/>
      <c r="S40" s="2960"/>
      <c r="T40">
        <f t="shared" ref="T40:T45" si="5">SUM(K40:S40)</f>
      </c>
    </row>
    <row r="41">
      <c r="D41" s="2960"/>
      <c r="E41" s="3007" t="s">
        <v>2040</v>
      </c>
      <c r="F41" s="3011">
        <f>SUMIF(F2:F34,"Ngân",E2:E34)</f>
      </c>
      <c r="G41" s="3009">
        <f>SUMIF(F2:F34,"Ngân",G2:G34)</f>
      </c>
      <c r="H41" s="3012">
        <f t="shared" si="4"/>
      </c>
      <c r="I41" s="2960"/>
      <c r="J41" s="2960" t="s">
        <v>2041</v>
      </c>
      <c r="L41" s="2960"/>
      <c r="O41" s="2960">
        <v>15</v>
      </c>
      <c r="P41" s="2960"/>
      <c r="S41" s="2960">
        <v>25</v>
      </c>
      <c r="T41">
        <f t="shared" si="5"/>
      </c>
    </row>
    <row customHeight="true" ht="16" r="42">
      <c r="D42" s="2978"/>
      <c r="E42" s="3013" t="s">
        <v>1985</v>
      </c>
      <c r="F42" s="3014">
        <f>SUMIF(F2:F34,"Thi",E2:E34)</f>
      </c>
      <c r="G42" s="3009">
        <f>SUMIF(F2:F34,"Thi",G2:G34)</f>
      </c>
      <c r="H42" s="3015">
        <f t="shared" si="4"/>
      </c>
      <c r="I42" s="2960"/>
      <c r="J42" s="2960" t="s">
        <v>2042</v>
      </c>
      <c r="M42" s="2960">
        <v>20</v>
      </c>
      <c r="P42" s="2960"/>
      <c r="Q42" s="2960"/>
      <c r="T42">
        <f t="shared" si="5"/>
      </c>
    </row>
    <row customHeight="true" ht="16" r="43">
      <c r="D43" s="2978"/>
      <c r="E43" s="3016" t="s">
        <v>2008</v>
      </c>
      <c r="F43" s="3017">
        <f>SUMIF(F2:F34,"Phương",E2:E34)</f>
      </c>
      <c r="G43" s="3009">
        <f>SUMIF(F2:F34,"Phương",G2:G34)</f>
      </c>
      <c r="H43" s="3018">
        <f t="shared" si="4"/>
      </c>
      <c r="I43" s="2960"/>
      <c r="J43" s="2960" t="s">
        <v>2043</v>
      </c>
      <c r="K43" s="2960">
        <v>15</v>
      </c>
      <c r="L43" s="2960"/>
      <c r="T43">
        <f t="shared" si="5"/>
      </c>
    </row>
    <row r="44">
      <c r="D44" s="2978"/>
      <c r="E44" s="3016" t="s">
        <v>2035</v>
      </c>
      <c r="F44" s="3017">
        <f>SUMIF(F2:F35,"Mai",E2:E35)</f>
      </c>
      <c r="G44" s="3009">
        <f>SUMIF(F2:F34,"Mai",G2:G34)</f>
      </c>
      <c r="H44" s="3018">
        <f t="shared" si="4"/>
      </c>
      <c r="I44" s="2960"/>
      <c r="J44" s="2960" t="s">
        <v>2044</v>
      </c>
      <c r="M44" s="2960"/>
      <c r="O44" s="2960"/>
      <c r="P44" s="2960">
        <v>20</v>
      </c>
      <c r="Q44" s="2960">
        <v>20</v>
      </c>
      <c r="R44" s="2960">
        <v>20</v>
      </c>
      <c r="S44" s="2960"/>
      <c r="T44">
        <f t="shared" si="5"/>
      </c>
    </row>
    <row r="45">
      <c r="D45" s="2960"/>
      <c r="E45" s="3019" t="s">
        <v>1994</v>
      </c>
      <c r="F45" s="3020">
        <f>SUM(F38:F44)</f>
      </c>
      <c r="G45" s="3009">
        <f>SUM(G38:G44)</f>
      </c>
      <c r="H45" s="3020">
        <f t="shared" si="4"/>
      </c>
      <c r="I45" s="2960"/>
      <c r="J45" s="2960" t="s">
        <v>1986</v>
      </c>
      <c r="K45">
        <f>SUM(K40:K44)</f>
      </c>
      <c r="L45">
        <f>SUM(L40:L44)</f>
      </c>
      <c r="M45">
        <f>SUM(M40:M44)</f>
      </c>
      <c r="N45">
        <f>SUM(N40:N44)</f>
      </c>
      <c r="O45">
        <f>SUM(O40:O44)</f>
      </c>
      <c r="P45">
        <f>SUM(P40:P44)</f>
      </c>
      <c r="Q45">
        <f>SUM(Q40:Q44)</f>
      </c>
      <c r="R45">
        <f>SUM(R40:R44)</f>
      </c>
      <c r="S45">
        <f>SUM(S40:S44)</f>
      </c>
      <c r="T45">
        <f t="shared" si="5"/>
      </c>
    </row>
    <row r="46">
      <c r="F46" s="2978"/>
      <c r="G46" s="2978"/>
      <c r="H46" s="2978"/>
      <c r="I46" s="2960"/>
      <c r="L46" s="2960"/>
      <c r="N46" s="2960"/>
    </row>
    <row r="47">
      <c r="J47" s="2960"/>
      <c r="K47" s="2960"/>
      <c r="L47" s="2960"/>
      <c r="M47" s="2960"/>
      <c r="N47" s="2960"/>
      <c r="O47" s="2960"/>
      <c r="P47" s="2960"/>
      <c r="Q47" s="2960"/>
      <c r="R47" s="2960"/>
      <c r="S47" s="2960"/>
      <c r="T47" s="2960"/>
    </row>
    <row r="48">
      <c r="J48" s="2960"/>
      <c r="K48" s="2960"/>
      <c r="L48" s="2960"/>
      <c r="M48" s="2960"/>
      <c r="N48" s="2960"/>
      <c r="O48" s="2960"/>
      <c r="P48" s="2960"/>
    </row>
    <row r="49">
      <c r="J49" s="2960"/>
      <c r="L49" s="2960"/>
      <c r="N49" s="2960"/>
      <c r="O49" s="2960"/>
      <c r="P49" s="2960"/>
      <c r="S49" s="2960"/>
    </row>
    <row r="50">
      <c r="J50" s="2960"/>
      <c r="M50" s="2960"/>
      <c r="Q50" s="2960"/>
    </row>
    <row r="51">
      <c r="J51" s="2960"/>
      <c r="K51" s="2960"/>
      <c r="L51" s="2960"/>
    </row>
    <row r="52">
      <c r="J52" s="2960"/>
      <c r="M52" s="2960"/>
      <c r="O52" s="2960"/>
      <c r="P52" s="2960"/>
      <c r="Q52" s="2960"/>
      <c r="R52" s="2960"/>
      <c r="S52" s="2960"/>
    </row>
    <row r="53">
      <c r="J53" s="2960"/>
    </row>
  </sheetData>
  <mergeCells>
    <mergeCell ref="A28:A32"/>
    <mergeCell ref="B28:B32"/>
    <mergeCell ref="D28:D32"/>
    <mergeCell ref="A34:D34"/>
    <mergeCell ref="A33:D33"/>
    <mergeCell ref="C27:D27"/>
    <mergeCell ref="A20:A26"/>
    <mergeCell ref="I20:I26"/>
    <mergeCell ref="B20:B26"/>
    <mergeCell ref="D14:D18"/>
    <mergeCell ref="D11:D13"/>
    <mergeCell ref="B11:B18"/>
    <mergeCell ref="A11:A18"/>
    <mergeCell ref="C19:D19"/>
    <mergeCell ref="D6:D9"/>
    <mergeCell ref="C10:D10"/>
    <mergeCell ref="A5:D5"/>
    <mergeCell ref="A2:A4"/>
    <mergeCell ref="B2:B4"/>
    <mergeCell ref="A6:A9"/>
    <mergeCell ref="B6:B9"/>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